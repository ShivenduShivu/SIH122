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L4-L6 Schedule" sheetId="3" state="visible" r:id="rId5"/>
    <sheet name="L3 Reference" sheetId="4" state="visible" r:id="rId6"/>
  </sheets>
  <definedNames>
    <definedName function="false" hidden="true" localSheetId="2" name="_xlnm._FilterDatabase" vbProcedure="false">'L4-L6 Schedule'!$A$5:$U$220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<sst xmlns="http://schemas.openxmlformats.org/spreadsheetml/2006/main" count="2613" uniqueCount="905">
  <si>
    <t xml:space="preserve">Construction Contractor L4-L5-L6 Schedule (Synthetic Case)</t>
  </si>
  <si>
    <t xml:space="preserve">Purpose</t>
  </si>
  <si>
    <t xml:space="preserve">Teaching dataset for the hackathon: shows how executor-level work (L5/L6 tasks reported by supervisors) hangs under the planner's L3/L4 nodes in Primavera P6, and gives a common ground truth to test extraction and schedule-linking.</t>
  </si>
  <si>
    <t xml:space="preserve">Case project</t>
  </si>
  <si>
    <t xml:space="preserve">Urban garbage treatment plant (100 TPD: segregation, composting, RDF), Town XYZ, by Company ABC. About Rs 45 crore, about 24 months from investment approval to commissioning. This workbook covers only the scope of the construction contractor.</t>
  </si>
  <si>
    <t xml:space="preserve">Sheets</t>
  </si>
  <si>
    <t xml:space="preserve">Assumptions: handover date and external delivery dates (scenario levers). L3 Reference: the 11 L3 activities given to the contractor. L4-L6 Schedule: the working schedule with logic, dates and actuals columns.</t>
  </si>
  <si>
    <t xml:space="preserve">Level definitions</t>
  </si>
  <si>
    <t xml:space="preserve">L3 = package activity in the consultant schedule (e.g. Civil Works - Process Buildings). L4 = facility / area work package (e.g. Waste Receiving &amp; Tipping Hall). L5 = work group (e.g. Foundations). L6 = executable task reported daily by a supervisor (e.g. Excavate for footings).</t>
  </si>
  <si>
    <t xml:space="preserve">Linkage key</t>
  </si>
  <si>
    <t xml:space="preserve">The Activity ID (format GWP-&lt;discipline&gt;-&lt;number&gt;, e.g. GWP-CIV-1130) is the linkage point. Every L4-L6 row also carries its L3 Parent ID and immediate Parent ID, so a reported L6 task always resolves up to its L3/L4 node in P6.</t>
  </si>
  <si>
    <t xml:space="preserve">Who does what</t>
  </si>
  <si>
    <t xml:space="preserve">Contractor keeps L5/L6 (approved by consultant). Supervisors report L6 starts and finishes. The planning engineer confirms and updates P6. L4/L5 rows are never reported directly; they roll up.</t>
  </si>
  <si>
    <t xml:space="preserve">Completion rule</t>
  </si>
  <si>
    <t xml:space="preserve">A task is complete when the site team finishes the work. Inspection and testing are separate tasks in the last L3 node (Section GWP-L3-110), not part of the work task.</t>
  </si>
  <si>
    <t xml:space="preserve">Rollup rules</t>
  </si>
  <si>
    <t xml:space="preserve">Summary Planned/Actual Start = earliest child. Summary Actual Finish appears only when all L6 tasks below it are finished, then = latest child finish. Summary % Complete = L6 % complete weighted by planned duration. Status derives from the actual dates.</t>
  </si>
  <si>
    <t xml:space="preserve">Schedule logic</t>
  </si>
  <si>
    <t xml:space="preserve">L6 tasks use Finish-to-Start unless stated (some Start-to-Start with lag). Start = latest predecessor constraint, moved to next working day. Six-day week (Sunday off). Changing a duration or an external delivery offset recalculates all dates.</t>
  </si>
  <si>
    <t xml:space="preserve">Legend</t>
  </si>
  <si>
    <t xml:space="preserve">Yellow cells: fill in during demo (Actual Start, Actual Finish, % Complete, Remarks at L6 level; and delivery offsets on the Assumptions sheet). Blue text: hardcoded input (duration, quantity). Black: formula. Green: link to another sheet. Use the outline buttons (1/2/3) at the left of the schedule to collapse to L4, L5 or L6.</t>
  </si>
  <si>
    <t xml:space="preserve">Assumptions</t>
  </si>
  <si>
    <t xml:space="preserve">All durations, quantities, delivery lead times and logic are synthetic assumptions made for teaching realism, not taken from any real OIL project. Quantities are indicative and are meant to make daily reports look realistic (e.g. "poured 45 m3").</t>
  </si>
  <si>
    <t xml:space="preserve">Example of a filled-in row</t>
  </si>
  <si>
    <t xml:space="preserve">GWP-CIV-1250 | Excavate for footings (Bldg B) | Actual Start 18-Nov-27 | Actual Finish 24-Nov-27 | % Complete 100%. Only L6 rows are filled; the parent L5 and L4 rows and the L3 node update by formula. Delete any test entries before reuse.</t>
  </si>
  <si>
    <t xml:space="preserve">Row counts (live)</t>
  </si>
  <si>
    <t xml:space="preserve">L4 work packages</t>
  </si>
  <si>
    <t xml:space="preserve">L5 work groups</t>
  </si>
  <si>
    <t xml:space="preserve">L6 tasks (incl. 2 milestones)</t>
  </si>
  <si>
    <t xml:space="preserve">External milestones</t>
  </si>
  <si>
    <t xml:space="preserve">Total rows</t>
  </si>
  <si>
    <t xml:space="preserve">Assumptions &amp; Scenario Levers</t>
  </si>
  <si>
    <t xml:space="preserve">Blue = editable input. All dates in the Schedule recalculate from these cells.</t>
  </si>
  <si>
    <t xml:space="preserve">Item</t>
  </si>
  <si>
    <t xml:space="preserve">Value</t>
  </si>
  <si>
    <t xml:space="preserve">Basis</t>
  </si>
  <si>
    <t xml:space="preserve">Investment approval date (case project)</t>
  </si>
  <si>
    <t xml:space="preserve">Case project assumption agreed with Sandip: ~24 months approval to commissioning</t>
  </si>
  <si>
    <t xml:space="preserve">Site handover to construction contractor (start of scope)</t>
  </si>
  <si>
    <t xml:space="preserve">Assumption: ~9 months after approval for land, statutory clearances and design</t>
  </si>
  <si>
    <t xml:space="preserve">Commissioning target (case project)</t>
  </si>
  <si>
    <t xml:space="preserve">Assumption: 24 months from approval</t>
  </si>
  <si>
    <t xml:space="preserve">Working calendar</t>
  </si>
  <si>
    <t xml:space="preserve">Mon-Sat (Sunday off)</t>
  </si>
  <si>
    <t xml:space="preserve">Assumption: 6-day week, no public holidays or monsoon losses modelled</t>
  </si>
  <si>
    <t xml:space="preserve">External / interface milestones (not contractor tasks - they drive the contractor schedule)</t>
  </si>
  <si>
    <t xml:space="preserve">Milestone ID</t>
  </si>
  <si>
    <t xml:space="preserve">Description</t>
  </si>
  <si>
    <t xml:space="preserve">Offset (working days from handover)</t>
  </si>
  <si>
    <t xml:space="preserve">Delivery date (calculated)</t>
  </si>
  <si>
    <t xml:space="preserve">GWP-EXT-1010</t>
  </si>
  <si>
    <t xml:space="preserve">IFC structural steel drawings released by consultant</t>
  </si>
  <si>
    <t xml:space="preserve">GWP-EXT-1020</t>
  </si>
  <si>
    <t xml:space="preserve">Trommel screen, conveyors, feed hopper &amp; weighbridge delivered at site (supplier)</t>
  </si>
  <si>
    <t xml:space="preserve">GWP-EXT-1030</t>
  </si>
  <si>
    <t xml:space="preserve">Shredder &amp; baling press delivered at site (supplier)</t>
  </si>
  <si>
    <t xml:space="preserve">GWP-EXT-1040</t>
  </si>
  <si>
    <t xml:space="preserve">Aeration blowers, compost turner &amp; finishing screen delivered at site (supplier)</t>
  </si>
  <si>
    <t xml:space="preserve">GWP-EXT-1050</t>
  </si>
  <si>
    <t xml:space="preserve">ETP skid, leachate &amp; fire water pumps delivered at site (supplier)</t>
  </si>
  <si>
    <t xml:space="preserve">GWP-EXT-1060</t>
  </si>
  <si>
    <t xml:space="preserve">Transformer, HT/LT panels &amp; DG set delivered at site (owner-supplied)</t>
  </si>
  <si>
    <t xml:space="preserve">GWP-EXT-1070</t>
  </si>
  <si>
    <t xml:space="preserve">PLC/SCADA panels &amp; field instruments delivered at site (supplier)</t>
  </si>
  <si>
    <t xml:space="preserve">Notes:</t>
  </si>
  <si>
    <t xml:space="preserve">1. Offsets are illustrative assumptions (supplier/owner lead times after design and ordering). Change an offset to test how a late delivery pushes the contractor schedule.</t>
  </si>
  <si>
    <t xml:space="preserve">2. Task durations, quantities and logic in the Schedule are synthetic, chosen for teaching realism; they are not from any real OIL project.</t>
  </si>
  <si>
    <t xml:space="preserve">3. No holidays, monsoon or weather losses are modelled. Dates use WORKDAY.INTL with Sunday as the only non-working day.</t>
  </si>
  <si>
    <t xml:space="preserve">Level 4-5-6 Schedule: Construction Contractor Scope - Urban Garbage Treatment Plant (100 TPD), Town XYZ, Company ABC</t>
  </si>
  <si>
    <t xml:space="preserve">Synthetic teaching dataset. Link key = Activity ID (Primavera P6 style). Yellow cells = site inputs (Actual Start / Actual Finish / % Complete) at L6 task level; L4/L5 rows roll up automatically. Blue = editable input, black = formula.</t>
  </si>
  <si>
    <t xml:space="preserve">Activity ID</t>
  </si>
  <si>
    <t xml:space="preserve">WBS</t>
  </si>
  <si>
    <t xml:space="preserve">Level</t>
  </si>
  <si>
    <t xml:space="preserve">L3 Parent ID</t>
  </si>
  <si>
    <t xml:space="preserve">Parent ID</t>
  </si>
  <si>
    <t xml:space="preserve">Activity Name</t>
  </si>
  <si>
    <t xml:space="preserve">Type</t>
  </si>
  <si>
    <t xml:space="preserve">Discipline</t>
  </si>
  <si>
    <t xml:space="preserve">Reporting Role</t>
  </si>
  <si>
    <t xml:space="preserve">Qty</t>
  </si>
  <si>
    <t xml:space="preserve">UoM</t>
  </si>
  <si>
    <t xml:space="preserve">Orig Duration (wd)</t>
  </si>
  <si>
    <t xml:space="preserve">Predecessors (FS unless stated)</t>
  </si>
  <si>
    <t xml:space="preserve">Planned Start</t>
  </si>
  <si>
    <t xml:space="preserve">Planned Finish</t>
  </si>
  <si>
    <t xml:space="preserve">Leaf (Y/N)</t>
  </si>
  <si>
    <t xml:space="preserve">Actual Start</t>
  </si>
  <si>
    <t xml:space="preserve">Actual Finish</t>
  </si>
  <si>
    <t xml:space="preserve">% Complete</t>
  </si>
  <si>
    <t xml:space="preserve">Status</t>
  </si>
  <si>
    <t xml:space="preserve">Remarks</t>
  </si>
  <si>
    <t xml:space="preserve">-</t>
  </si>
  <si>
    <t xml:space="preserve">EXT</t>
  </si>
  <si>
    <t xml:space="preserve">External milestone</t>
  </si>
  <si>
    <t xml:space="preserve">Supplier / Owner / Consultant</t>
  </si>
  <si>
    <t xml:space="preserve">Input date (Assumptions sheet)</t>
  </si>
  <si>
    <t xml:space="preserve">N</t>
  </si>
  <si>
    <t xml:space="preserve">GWP-GEN-1010</t>
  </si>
  <si>
    <t xml:space="preserve">GWP.C01.01</t>
  </si>
  <si>
    <t xml:space="preserve">L4</t>
  </si>
  <si>
    <t xml:space="preserve">GWP-L3-010</t>
  </si>
  <si>
    <t xml:space="preserve">Mobilisation &amp; Temporary Facilities</t>
  </si>
  <si>
    <t xml:space="preserve">Summary</t>
  </si>
  <si>
    <t xml:space="preserve">GEN</t>
  </si>
  <si>
    <t xml:space="preserve">Contractor Site Engineer</t>
  </si>
  <si>
    <t xml:space="preserve">GWP-GEN-1020</t>
  </si>
  <si>
    <t xml:space="preserve">GWP.C01.01.01</t>
  </si>
  <si>
    <t xml:space="preserve">L5</t>
  </si>
  <si>
    <t xml:space="preserve">   Site Establishment</t>
  </si>
  <si>
    <t xml:space="preserve">GWP-GEN-1030</t>
  </si>
  <si>
    <t xml:space="preserve">GWP.C01.01.01.01</t>
  </si>
  <si>
    <t xml:space="preserve">L6</t>
  </si>
  <si>
    <t xml:space="preserve">      Site handover &amp; joint survey with consultant</t>
  </si>
  <si>
    <t xml:space="preserve">Task</t>
  </si>
  <si>
    <t xml:space="preserve">LS</t>
  </si>
  <si>
    <t xml:space="preserve">Site handover date (Assumptions)</t>
  </si>
  <si>
    <t xml:space="preserve">Y</t>
  </si>
  <si>
    <t xml:space="preserve">GWP-GEN-1040</t>
  </si>
  <si>
    <t xml:space="preserve">GWP.C01.01.01.02</t>
  </si>
  <si>
    <t xml:space="preserve">      Set up site office, stores &amp; storage yard</t>
  </si>
  <si>
    <t xml:space="preserve">GWP-GEN-1030 FS</t>
  </si>
  <si>
    <t xml:space="preserve">GWP-GEN-1050</t>
  </si>
  <si>
    <t xml:space="preserve">GWP.C01.01.01.03</t>
  </si>
  <si>
    <t xml:space="preserve">      Set up labour camp, canteen &amp; sanitation</t>
  </si>
  <si>
    <t xml:space="preserve">GWP-GEN-1060</t>
  </si>
  <si>
    <t xml:space="preserve">GWP.C01.01.01.04</t>
  </si>
  <si>
    <t xml:space="preserve">      Arrange temporary power (DG) &amp; water supply</t>
  </si>
  <si>
    <t xml:space="preserve">GWP-GEN-1070</t>
  </si>
  <si>
    <t xml:space="preserve">GWP.C01.01.01.05</t>
  </si>
  <si>
    <t xml:space="preserve">      Erect temporary fencing, signage &amp; site gate</t>
  </si>
  <si>
    <t xml:space="preserve">RM</t>
  </si>
  <si>
    <t xml:space="preserve">GWP-GEN-1080</t>
  </si>
  <si>
    <t xml:space="preserve">GWP.C01.01.01.06</t>
  </si>
  <si>
    <t xml:space="preserve">      Mobilise cranes, excavators &amp; batching equipment</t>
  </si>
  <si>
    <t xml:space="preserve">GWP-GEN-1040 FS</t>
  </si>
  <si>
    <t xml:space="preserve">GWP-GEN-1090</t>
  </si>
  <si>
    <t xml:space="preserve">GWP.C01.01.02</t>
  </si>
  <si>
    <t xml:space="preserve">   Quality &amp; HSE Setup</t>
  </si>
  <si>
    <t xml:space="preserve">GWP-HSE-1010</t>
  </si>
  <si>
    <t xml:space="preserve">GWP.C01.01.02.01</t>
  </si>
  <si>
    <t xml:space="preserve">      HSE plan approval &amp; worker induction</t>
  </si>
  <si>
    <t xml:space="preserve">HSE</t>
  </si>
  <si>
    <t xml:space="preserve">Contractor HSE Officer</t>
  </si>
  <si>
    <t xml:space="preserve">GWP-QAQC-1010</t>
  </si>
  <si>
    <t xml:space="preserve">GWP.C01.01.02.02</t>
  </si>
  <si>
    <t xml:space="preserve">      Approval of QAP / Inspection &amp; Test Plans</t>
  </si>
  <si>
    <t xml:space="preserve">QAQC</t>
  </si>
  <si>
    <t xml:space="preserve">Contractor QA/QC Engineer</t>
  </si>
  <si>
    <t xml:space="preserve">GWP-GEN-1100</t>
  </si>
  <si>
    <t xml:space="preserve">GWP.C01.01.02.03</t>
  </si>
  <si>
    <t xml:space="preserve">      Establish survey control points &amp; benchmarks</t>
  </si>
  <si>
    <t xml:space="preserve">Nos</t>
  </si>
  <si>
    <t xml:space="preserve">GWP-QAQC-1020</t>
  </si>
  <si>
    <t xml:space="preserve">GWP.C01.01.02.04</t>
  </si>
  <si>
    <t xml:space="preserve">      Set up site material testing lab</t>
  </si>
  <si>
    <t xml:space="preserve">GWP-CIV-1010</t>
  </si>
  <si>
    <t xml:space="preserve">GWP.C02.01</t>
  </si>
  <si>
    <t xml:space="preserve">GWP-L3-020</t>
  </si>
  <si>
    <t xml:space="preserve">Earthwork &amp; Site Grading</t>
  </si>
  <si>
    <t xml:space="preserve">CIV</t>
  </si>
  <si>
    <t xml:space="preserve">Civil Supervisor</t>
  </si>
  <si>
    <t xml:space="preserve">GWP-CIV-1020</t>
  </si>
  <si>
    <t xml:space="preserve">GWP.C02.01.01</t>
  </si>
  <si>
    <t xml:space="preserve">   Clearing &amp; Grading</t>
  </si>
  <si>
    <t xml:space="preserve">GWP-CIV-1030</t>
  </si>
  <si>
    <t xml:space="preserve">GWP.C02.01.01.01</t>
  </si>
  <si>
    <t xml:space="preserve">      Clear &amp; grub site vegetation and debris</t>
  </si>
  <si>
    <t xml:space="preserve">m2</t>
  </si>
  <si>
    <t xml:space="preserve">GWP-GEN-1100 FS; GWP-GEN-1080 FS</t>
  </si>
  <si>
    <t xml:space="preserve">GWP-CIV-1040</t>
  </si>
  <si>
    <t xml:space="preserve">GWP.C02.01.01.02</t>
  </si>
  <si>
    <t xml:space="preserve">      Cut &amp; fill to formation level</t>
  </si>
  <si>
    <t xml:space="preserve">m3</t>
  </si>
  <si>
    <t xml:space="preserve">GWP-CIV-1030 FS</t>
  </si>
  <si>
    <t xml:space="preserve">GWP-CIV-1050</t>
  </si>
  <si>
    <t xml:space="preserve">GWP.C02.01.01.03</t>
  </si>
  <si>
    <t xml:space="preserve">      Compaction &amp; field density tests on filled area</t>
  </si>
  <si>
    <t xml:space="preserve">GWP-CIV-1040 FS</t>
  </si>
  <si>
    <t xml:space="preserve">GWP-CIV-1060</t>
  </si>
  <si>
    <t xml:space="preserve">GWP.C02.01.02</t>
  </si>
  <si>
    <t xml:space="preserve">   Boundary Wall &amp; Main Gate</t>
  </si>
  <si>
    <t xml:space="preserve">GWP-CIV-1070</t>
  </si>
  <si>
    <t xml:space="preserve">GWP.C02.01.02.01</t>
  </si>
  <si>
    <t xml:space="preserve">      Excavate boundary wall foundation trench</t>
  </si>
  <si>
    <t xml:space="preserve">GWP-CIV-1080</t>
  </si>
  <si>
    <t xml:space="preserve">GWP.C02.01.02.02</t>
  </si>
  <si>
    <t xml:space="preserve">      Lay PCC and footing for boundary wall</t>
  </si>
  <si>
    <t xml:space="preserve">GWP-CIV-1070 FS</t>
  </si>
  <si>
    <t xml:space="preserve">GWP-CIV-1090</t>
  </si>
  <si>
    <t xml:space="preserve">GWP.C02.01.02.03</t>
  </si>
  <si>
    <t xml:space="preserve">      Brick masonry for boundary wall</t>
  </si>
  <si>
    <t xml:space="preserve">GWP-CIV-1080 FS</t>
  </si>
  <si>
    <t xml:space="preserve">GWP-CIV-1100</t>
  </si>
  <si>
    <t xml:space="preserve">GWP.C02.01.02.04</t>
  </si>
  <si>
    <t xml:space="preserve">      Plaster &amp; paint boundary wall</t>
  </si>
  <si>
    <t xml:space="preserve">GWP-CIV-1090 FS</t>
  </si>
  <si>
    <t xml:space="preserve">GWP-CIV-1110</t>
  </si>
  <si>
    <t xml:space="preserve">GWP.C02.01.02.05</t>
  </si>
  <si>
    <t xml:space="preserve">      Install main gate &amp; security cabin</t>
  </si>
  <si>
    <t xml:space="preserve">GWP-CIV-1120</t>
  </si>
  <si>
    <t xml:space="preserve">GWP.C02.02</t>
  </si>
  <si>
    <t xml:space="preserve">Roads &amp; Drainage</t>
  </si>
  <si>
    <t xml:space="preserve">GWP-CIV-1130</t>
  </si>
  <si>
    <t xml:space="preserve">GWP.C02.02.01</t>
  </si>
  <si>
    <t xml:space="preserve">   Storm Water Drainage</t>
  </si>
  <si>
    <t xml:space="preserve">GWP-CIV-1140</t>
  </si>
  <si>
    <t xml:space="preserve">GWP.C02.02.01.01</t>
  </si>
  <si>
    <t xml:space="preserve">      Excavate storm drain trenches</t>
  </si>
  <si>
    <t xml:space="preserve">GWP-CIV-1050 FS</t>
  </si>
  <si>
    <t xml:space="preserve">GWP-CIV-1150</t>
  </si>
  <si>
    <t xml:space="preserve">GWP.C02.02.01.02</t>
  </si>
  <si>
    <t xml:space="preserve">      PCC bed for drains</t>
  </si>
  <si>
    <t xml:space="preserve">GWP-CIV-1140 FS</t>
  </si>
  <si>
    <t xml:space="preserve">GWP-CIV-1160</t>
  </si>
  <si>
    <t xml:space="preserve">GWP.C02.02.01.03</t>
  </si>
  <si>
    <t xml:space="preserve">      Construct drain side walls (masonry/RCC)</t>
  </si>
  <si>
    <t xml:space="preserve">GWP-CIV-1150 FS</t>
  </si>
  <si>
    <t xml:space="preserve">GWP-CIV-1170</t>
  </si>
  <si>
    <t xml:space="preserve">GWP.C02.02.01.04</t>
  </si>
  <si>
    <t xml:space="preserve">      Fix drain covers and gratings</t>
  </si>
  <si>
    <t xml:space="preserve">GWP-CIV-1160 FS</t>
  </si>
  <si>
    <t xml:space="preserve">GWP-CIV-1180</t>
  </si>
  <si>
    <t xml:space="preserve">GWP.C02.02.02</t>
  </si>
  <si>
    <t xml:space="preserve">   Internal Roads</t>
  </si>
  <si>
    <t xml:space="preserve">GWP-CIV-1190</t>
  </si>
  <si>
    <t xml:space="preserve">GWP.C02.02.02.01</t>
  </si>
  <si>
    <t xml:space="preserve">      Subgrade preparation for internal roads</t>
  </si>
  <si>
    <t xml:space="preserve">GWP-CIV-1200</t>
  </si>
  <si>
    <t xml:space="preserve">GWP.C02.02.02.02</t>
  </si>
  <si>
    <t xml:space="preserve">      Lay granular sub-base (GSB) &amp; WBM</t>
  </si>
  <si>
    <t xml:space="preserve">GWP-CIV-1190 FS; GWP-PIP-1110 FS</t>
  </si>
  <si>
    <t xml:space="preserve">GWP-CIV-1210</t>
  </si>
  <si>
    <t xml:space="preserve">GWP.C02.02.02.03</t>
  </si>
  <si>
    <t xml:space="preserve">      Lay final concrete pavement &amp; kerbs</t>
  </si>
  <si>
    <t xml:space="preserve">GWP-CIV-1200 FS; GWP-MEC-1220 FS; GWP-CIV-1170 FS</t>
  </si>
  <si>
    <t xml:space="preserve">GWP-CIV-1220</t>
  </si>
  <si>
    <t xml:space="preserve">GWP.C02.02.02.04</t>
  </si>
  <si>
    <t xml:space="preserve">      Road marking &amp; signage</t>
  </si>
  <si>
    <t xml:space="preserve">GWP-CIV-1210 FS</t>
  </si>
  <si>
    <t xml:space="preserve">GWP-CIV-1230</t>
  </si>
  <si>
    <t xml:space="preserve">GWP.C03.01</t>
  </si>
  <si>
    <t xml:space="preserve">GWP-L3-030</t>
  </si>
  <si>
    <t xml:space="preserve">Waste Receiving &amp; Tipping Hall (Bldg B)</t>
  </si>
  <si>
    <t xml:space="preserve">GWP-CIV-1240</t>
  </si>
  <si>
    <t xml:space="preserve">GWP.C03.01.01</t>
  </si>
  <si>
    <t xml:space="preserve">   Foundations</t>
  </si>
  <si>
    <t xml:space="preserve">GWP-CIV-1250</t>
  </si>
  <si>
    <t xml:space="preserve">GWP.C03.01.01.01</t>
  </si>
  <si>
    <t xml:space="preserve">      Excavate for footings</t>
  </si>
  <si>
    <t xml:space="preserve">GWP-CIV-1260</t>
  </si>
  <si>
    <t xml:space="preserve">GWP.C03.01.01.02</t>
  </si>
  <si>
    <t xml:space="preserve">      Lay PCC below footings</t>
  </si>
  <si>
    <t xml:space="preserve">GWP-CIV-1250 FS</t>
  </si>
  <si>
    <t xml:space="preserve">GWP-CIV-1270</t>
  </si>
  <si>
    <t xml:space="preserve">GWP.C03.01.01.03</t>
  </si>
  <si>
    <t xml:space="preserve">      Footing reinforcement &amp; shuttering</t>
  </si>
  <si>
    <t xml:space="preserve">MT</t>
  </si>
  <si>
    <t xml:space="preserve">GWP-CIV-1260 FS</t>
  </si>
  <si>
    <t xml:space="preserve">GWP-CIV-1280</t>
  </si>
  <si>
    <t xml:space="preserve">GWP.C03.01.01.04</t>
  </si>
  <si>
    <t xml:space="preserve">      Footing concreting (M25)</t>
  </si>
  <si>
    <t xml:space="preserve">GWP-CIV-1270 FS</t>
  </si>
  <si>
    <t xml:space="preserve">GWP-CIV-1290</t>
  </si>
  <si>
    <t xml:space="preserve">GWP.C03.01.01.05</t>
  </si>
  <si>
    <t xml:space="preserve">      Backfill &amp; compaction around footings</t>
  </si>
  <si>
    <t xml:space="preserve">GWP-CIV-1280 FS</t>
  </si>
  <si>
    <t xml:space="preserve">GWP-CIV-1300</t>
  </si>
  <si>
    <t xml:space="preserve">GWP.C03.01.02</t>
  </si>
  <si>
    <t xml:space="preserve">   Tipping Pit &amp; Hopper Walls</t>
  </si>
  <si>
    <t xml:space="preserve">GWP-CIV-1310</t>
  </si>
  <si>
    <t xml:space="preserve">GWP.C03.01.02.01</t>
  </si>
  <si>
    <t xml:space="preserve">      Excavate tipping pit with shoring</t>
  </si>
  <si>
    <t xml:space="preserve">GWP-CIV-1320</t>
  </si>
  <si>
    <t xml:space="preserve">GWP.C03.01.02.02</t>
  </si>
  <si>
    <t xml:space="preserve">      Pit raft reinforcement &amp; shuttering</t>
  </si>
  <si>
    <t xml:space="preserve">GWP-CIV-1310 FS</t>
  </si>
  <si>
    <t xml:space="preserve">GWP-CIV-1330</t>
  </si>
  <si>
    <t xml:space="preserve">GWP.C03.01.02.03</t>
  </si>
  <si>
    <t xml:space="preserve">      Pit raft concreting</t>
  </si>
  <si>
    <t xml:space="preserve">GWP-CIV-1320 FS</t>
  </si>
  <si>
    <t xml:space="preserve">GWP-CIV-1340</t>
  </si>
  <si>
    <t xml:space="preserve">GWP.C03.01.02.04</t>
  </si>
  <si>
    <t xml:space="preserve">      Pit wall reinforcement &amp; shuttering</t>
  </si>
  <si>
    <t xml:space="preserve">GWP-CIV-1330 FS</t>
  </si>
  <si>
    <t xml:space="preserve">GWP-CIV-1350</t>
  </si>
  <si>
    <t xml:space="preserve">GWP.C03.01.02.05</t>
  </si>
  <si>
    <t xml:space="preserve">      Pit wall concreting</t>
  </si>
  <si>
    <t xml:space="preserve">GWP-CIV-1340 FS</t>
  </si>
  <si>
    <t xml:space="preserve">GWP-CIV-1360</t>
  </si>
  <si>
    <t xml:space="preserve">GWP.C03.01.02.06</t>
  </si>
  <si>
    <t xml:space="preserve">      Waterproofing &amp; protective coating of pit</t>
  </si>
  <si>
    <t xml:space="preserve">GWP-CIV-1350 FS</t>
  </si>
  <si>
    <t xml:space="preserve">GWP-CIV-1370</t>
  </si>
  <si>
    <t xml:space="preserve">GWP.C03.01.03</t>
  </si>
  <si>
    <t xml:space="preserve">   Superstructure &amp; Floors</t>
  </si>
  <si>
    <t xml:space="preserve">GWP-CIV-1380</t>
  </si>
  <si>
    <t xml:space="preserve">GWP.C03.01.03.01</t>
  </si>
  <si>
    <t xml:space="preserve">      Column reinforcement &amp; shuttering</t>
  </si>
  <si>
    <t xml:space="preserve">GWP-CIV-1290 FS</t>
  </si>
  <si>
    <t xml:space="preserve">GWP-CIV-1390</t>
  </si>
  <si>
    <t xml:space="preserve">GWP.C03.01.03.02</t>
  </si>
  <si>
    <t xml:space="preserve">      Column concreting</t>
  </si>
  <si>
    <t xml:space="preserve">GWP-CIV-1380 FS</t>
  </si>
  <si>
    <t xml:space="preserve">GWP-CIV-1400</t>
  </si>
  <si>
    <t xml:space="preserve">GWP.C03.01.03.03</t>
  </si>
  <si>
    <t xml:space="preserve">      Plinth beam &amp; floor slab</t>
  </si>
  <si>
    <t xml:space="preserve">GWP-CIV-1390 FS; GWP-CIV-1350 FS</t>
  </si>
  <si>
    <t xml:space="preserve">GWP-CIV-1410</t>
  </si>
  <si>
    <t xml:space="preserve">GWP.C03.01.03.04</t>
  </si>
  <si>
    <t xml:space="preserve">      Approach ramp &amp; retaining wall</t>
  </si>
  <si>
    <t xml:space="preserve">GWP-CIV-1420</t>
  </si>
  <si>
    <t xml:space="preserve">GWP.C03.02</t>
  </si>
  <si>
    <t xml:space="preserve">Segregation &amp; Processing Building (Bldg C)</t>
  </si>
  <si>
    <t xml:space="preserve">GWP-CIV-1430</t>
  </si>
  <si>
    <t xml:space="preserve">GWP.C03.02.01</t>
  </si>
  <si>
    <t xml:space="preserve">GWP-CIV-1440</t>
  </si>
  <si>
    <t xml:space="preserve">GWP.C03.02.01.01</t>
  </si>
  <si>
    <t xml:space="preserve">GWP-CIV-1450</t>
  </si>
  <si>
    <t xml:space="preserve">GWP.C03.02.01.02</t>
  </si>
  <si>
    <t xml:space="preserve">GWP-CIV-1440 FS</t>
  </si>
  <si>
    <t xml:space="preserve">GWP-CIV-1460</t>
  </si>
  <si>
    <t xml:space="preserve">GWP.C03.02.01.03</t>
  </si>
  <si>
    <t xml:space="preserve">GWP-CIV-1450 FS</t>
  </si>
  <si>
    <t xml:space="preserve">GWP-CIV-1470</t>
  </si>
  <si>
    <t xml:space="preserve">GWP.C03.02.01.04</t>
  </si>
  <si>
    <t xml:space="preserve">GWP-CIV-1460 FS</t>
  </si>
  <si>
    <t xml:space="preserve">GWP-CIV-1480</t>
  </si>
  <si>
    <t xml:space="preserve">GWP.C03.02.01.05</t>
  </si>
  <si>
    <t xml:space="preserve">GWP-CIV-1470 FS</t>
  </si>
  <si>
    <t xml:space="preserve">GWP-CIV-1490</t>
  </si>
  <si>
    <t xml:space="preserve">GWP.C03.02.02</t>
  </si>
  <si>
    <t xml:space="preserve">   Equipment Foundations &amp; Pedestals</t>
  </si>
  <si>
    <t xml:space="preserve">GWP-CIV-1500</t>
  </si>
  <si>
    <t xml:space="preserve">GWP.C03.02.02.01</t>
  </si>
  <si>
    <t xml:space="preserve">      Trommel screen foundation with anchor bolts</t>
  </si>
  <si>
    <t xml:space="preserve">GWP-CIV-1480 FS</t>
  </si>
  <si>
    <t xml:space="preserve">GWP-CIV-1510</t>
  </si>
  <si>
    <t xml:space="preserve">GWP.C03.02.02.02</t>
  </si>
  <si>
    <t xml:space="preserve">      Conveyor support pedestals</t>
  </si>
  <si>
    <t xml:space="preserve">GWP-CIV-1520</t>
  </si>
  <si>
    <t xml:space="preserve">GWP.C03.02.02.03</t>
  </si>
  <si>
    <t xml:space="preserve">      Shredder &amp; baling press foundations with anchor bolts</t>
  </si>
  <si>
    <t xml:space="preserve">GWP-CIV-1530</t>
  </si>
  <si>
    <t xml:space="preserve">GWP.C03.02.02.04</t>
  </si>
  <si>
    <t xml:space="preserve">      Survey check of anchor bolts &amp; foundation levels</t>
  </si>
  <si>
    <t xml:space="preserve">GWP-CIV-1500 FS; GWP-CIV-1510 FS; GWP-CIV-1520 FS</t>
  </si>
  <si>
    <t xml:space="preserve">GWP-CIV-1540</t>
  </si>
  <si>
    <t xml:space="preserve">GWP.C03.02.03</t>
  </si>
  <si>
    <t xml:space="preserve">GWP-CIV-1550</t>
  </si>
  <si>
    <t xml:space="preserve">GWP.C03.02.03.01</t>
  </si>
  <si>
    <t xml:space="preserve">GWP-CIV-1560</t>
  </si>
  <si>
    <t xml:space="preserve">GWP.C03.02.03.02</t>
  </si>
  <si>
    <t xml:space="preserve">GWP-CIV-1550 FS</t>
  </si>
  <si>
    <t xml:space="preserve">GWP-CIV-1570</t>
  </si>
  <si>
    <t xml:space="preserve">GWP.C03.02.03.03</t>
  </si>
  <si>
    <t xml:space="preserve">GWP-CIV-1560 FS</t>
  </si>
  <si>
    <t xml:space="preserve">GWP-CIV-1580</t>
  </si>
  <si>
    <t xml:space="preserve">GWP.C03.02.03.04</t>
  </si>
  <si>
    <t xml:space="preserve">      Brick infill masonry</t>
  </si>
  <si>
    <t xml:space="preserve">GWP-CIV-1570 FS</t>
  </si>
  <si>
    <t xml:space="preserve">GWP-CIV-1590</t>
  </si>
  <si>
    <t xml:space="preserve">GWP.C04.01</t>
  </si>
  <si>
    <t xml:space="preserve">GWP-L3-040</t>
  </si>
  <si>
    <t xml:space="preserve">Composting Yard</t>
  </si>
  <si>
    <t xml:space="preserve">GWP-CIV-1600</t>
  </si>
  <si>
    <t xml:space="preserve">GWP.C04.01.01</t>
  </si>
  <si>
    <t xml:space="preserve">   Windrow Platform</t>
  </si>
  <si>
    <t xml:space="preserve">GWP-CIV-1610</t>
  </si>
  <si>
    <t xml:space="preserve">GWP.C04.01.01.01</t>
  </si>
  <si>
    <t xml:space="preserve">      Excavation &amp; levelling for compost platform</t>
  </si>
  <si>
    <t xml:space="preserve">GWP-CIV-1620</t>
  </si>
  <si>
    <t xml:space="preserve">GWP.C04.01.01.02</t>
  </si>
  <si>
    <t xml:space="preserve">      Sub-base &amp; compaction</t>
  </si>
  <si>
    <t xml:space="preserve">GWP-CIV-1610 FS</t>
  </si>
  <si>
    <t xml:space="preserve">GWP-CIV-1630</t>
  </si>
  <si>
    <t xml:space="preserve">GWP.C04.01.01.03</t>
  </si>
  <si>
    <t xml:space="preserve">      PCC &amp; waterproofing membrane</t>
  </si>
  <si>
    <t xml:space="preserve">GWP-CIV-1620 FS</t>
  </si>
  <si>
    <t xml:space="preserve">GWP-CIV-1640</t>
  </si>
  <si>
    <t xml:space="preserve">GWP.C04.01.01.04</t>
  </si>
  <si>
    <t xml:space="preserve">      Reinforced concrete platform slab (bay-wise)</t>
  </si>
  <si>
    <t xml:space="preserve">GWP-CIV-1630 FS</t>
  </si>
  <si>
    <t xml:space="preserve">GWP-CIV-1650</t>
  </si>
  <si>
    <t xml:space="preserve">GWP.C04.01.01.05</t>
  </si>
  <si>
    <t xml:space="preserve">      Leachate collection channels &amp; sump connection</t>
  </si>
  <si>
    <t xml:space="preserve">GWP-CIV-1640 SS+6</t>
  </si>
  <si>
    <t xml:space="preserve">GWP-CIV-1660</t>
  </si>
  <si>
    <t xml:space="preserve">GWP.C04.01.01.06</t>
  </si>
  <si>
    <t xml:space="preserve">      Bay dividing walls</t>
  </si>
  <si>
    <t xml:space="preserve">GWP-CIV-1640 FS</t>
  </si>
  <si>
    <t xml:space="preserve">GWP-CIV-1670</t>
  </si>
  <si>
    <t xml:space="preserve">GWP.C04.02</t>
  </si>
  <si>
    <t xml:space="preserve">RDF Storage Shed</t>
  </si>
  <si>
    <t xml:space="preserve">GWP-CIV-1680</t>
  </si>
  <si>
    <t xml:space="preserve">GWP.C04.02.01</t>
  </si>
  <si>
    <t xml:space="preserve">   Foundations &amp; Floor</t>
  </si>
  <si>
    <t xml:space="preserve">GWP-CIV-1690</t>
  </si>
  <si>
    <t xml:space="preserve">GWP.C04.02.01.01</t>
  </si>
  <si>
    <t xml:space="preserve">      Footing excavation</t>
  </si>
  <si>
    <t xml:space="preserve">GWP-CIV-1700</t>
  </si>
  <si>
    <t xml:space="preserve">GWP.C04.02.01.02</t>
  </si>
  <si>
    <t xml:space="preserve">      Footing PCC, reinforcement &amp; concreting</t>
  </si>
  <si>
    <t xml:space="preserve">GWP-CIV-1690 FS</t>
  </si>
  <si>
    <t xml:space="preserve">GWP-CIV-1710</t>
  </si>
  <si>
    <t xml:space="preserve">GWP.C04.02.01.03</t>
  </si>
  <si>
    <t xml:space="preserve">      Shed floor slab</t>
  </si>
  <si>
    <t xml:space="preserve">GWP-CIV-1700 FS</t>
  </si>
  <si>
    <t xml:space="preserve">GWP-CIV-1720</t>
  </si>
  <si>
    <t xml:space="preserve">GWP.C04.02.01.04</t>
  </si>
  <si>
    <t xml:space="preserve">      Loading dock &amp; ramp</t>
  </si>
  <si>
    <t xml:space="preserve">GWP-CIV-1710 FS</t>
  </si>
  <si>
    <t xml:space="preserve">GWP-CIV-1730</t>
  </si>
  <si>
    <t xml:space="preserve">GWP.C04.03</t>
  </si>
  <si>
    <t xml:space="preserve">Leachate Collection &amp; Treatment Civil</t>
  </si>
  <si>
    <t xml:space="preserve">GWP-CIV-1740</t>
  </si>
  <si>
    <t xml:space="preserve">GWP.C04.03.01</t>
  </si>
  <si>
    <t xml:space="preserve">   Sump &amp; Tanks</t>
  </si>
  <si>
    <t xml:space="preserve">GWP-CIV-1750</t>
  </si>
  <si>
    <t xml:space="preserve">GWP.C04.03.01.01</t>
  </si>
  <si>
    <t xml:space="preserve">      Excavate for leachate sump &amp; equalisation tank</t>
  </si>
  <si>
    <t xml:space="preserve">GWP-CIV-1760</t>
  </si>
  <si>
    <t xml:space="preserve">GWP.C04.03.01.02</t>
  </si>
  <si>
    <t xml:space="preserve">      Tank raft reinforcement &amp; concreting</t>
  </si>
  <si>
    <t xml:space="preserve">GWP-CIV-1750 FS</t>
  </si>
  <si>
    <t xml:space="preserve">GWP-CIV-1770</t>
  </si>
  <si>
    <t xml:space="preserve">GWP.C04.03.01.03</t>
  </si>
  <si>
    <t xml:space="preserve">      Tank walls reinforcement &amp; concreting</t>
  </si>
  <si>
    <t xml:space="preserve">GWP-CIV-1760 FS</t>
  </si>
  <si>
    <t xml:space="preserve">GWP-CIV-1780</t>
  </si>
  <si>
    <t xml:space="preserve">GWP.C04.03.01.04</t>
  </si>
  <si>
    <t xml:space="preserve">      Water-tightness (fill) test &amp; waterproofing</t>
  </si>
  <si>
    <t xml:space="preserve">GWP-CIV-1770 FS</t>
  </si>
  <si>
    <t xml:space="preserve">GWP-CIV-1790</t>
  </si>
  <si>
    <t xml:space="preserve">GWP.C05.01</t>
  </si>
  <si>
    <t xml:space="preserve">GWP-L3-050</t>
  </si>
  <si>
    <t xml:space="preserve">Administration &amp; Control Building</t>
  </si>
  <si>
    <t xml:space="preserve">GWP-CIV-1800</t>
  </si>
  <si>
    <t xml:space="preserve">GWP.C05.01.01</t>
  </si>
  <si>
    <t xml:space="preserve">   Structure</t>
  </si>
  <si>
    <t xml:space="preserve">GWP-CIV-1810</t>
  </si>
  <si>
    <t xml:space="preserve">GWP.C05.01.01.01</t>
  </si>
  <si>
    <t xml:space="preserve">      Excavation for foundations</t>
  </si>
  <si>
    <t xml:space="preserve">GWP-CIV-1820</t>
  </si>
  <si>
    <t xml:space="preserve">GWP.C05.01.01.02</t>
  </si>
  <si>
    <t xml:space="preserve">GWP-CIV-1810 FS</t>
  </si>
  <si>
    <t xml:space="preserve">GWP-CIV-1830</t>
  </si>
  <si>
    <t xml:space="preserve">GWP.C05.01.01.03</t>
  </si>
  <si>
    <t xml:space="preserve">      Columns, beams &amp; slab (RCC frame)</t>
  </si>
  <si>
    <t xml:space="preserve">GWP-CIV-1820 FS</t>
  </si>
  <si>
    <t xml:space="preserve">GWP-CIV-1840</t>
  </si>
  <si>
    <t xml:space="preserve">GWP.C05.01.01.04</t>
  </si>
  <si>
    <t xml:space="preserve">      Brick masonry &amp; lintels</t>
  </si>
  <si>
    <t xml:space="preserve">GWP-CIV-1830 FS</t>
  </si>
  <si>
    <t xml:space="preserve">GWP-CIV-1850</t>
  </si>
  <si>
    <t xml:space="preserve">GWP.C05.01.02</t>
  </si>
  <si>
    <t xml:space="preserve">   Finishing</t>
  </si>
  <si>
    <t xml:space="preserve">GWP-CIV-1860</t>
  </si>
  <si>
    <t xml:space="preserve">GWP.C05.01.02.01</t>
  </si>
  <si>
    <t xml:space="preserve">      Plastering (internal &amp; external)</t>
  </si>
  <si>
    <t xml:space="preserve">GWP-CIV-1840 FS</t>
  </si>
  <si>
    <t xml:space="preserve">GWP-CIV-1870</t>
  </si>
  <si>
    <t xml:space="preserve">GWP.C05.01.02.02</t>
  </si>
  <si>
    <t xml:space="preserve">      Flooring &amp; tiling</t>
  </si>
  <si>
    <t xml:space="preserve">GWP-CIV-1860 FS</t>
  </si>
  <si>
    <t xml:space="preserve">GWP-CIV-1880</t>
  </si>
  <si>
    <t xml:space="preserve">GWP.C05.01.02.03</t>
  </si>
  <si>
    <t xml:space="preserve">      Doors, windows &amp; glazing</t>
  </si>
  <si>
    <t xml:space="preserve">GWP-CIV-1890</t>
  </si>
  <si>
    <t xml:space="preserve">GWP.C05.01.02.04</t>
  </si>
  <si>
    <t xml:space="preserve">      Painting &amp; final finishing</t>
  </si>
  <si>
    <t xml:space="preserve">GWP-CIV-1870 FS; GWP-CIV-1880 FS</t>
  </si>
  <si>
    <t xml:space="preserve">GWP-CIV-1900</t>
  </si>
  <si>
    <t xml:space="preserve">GWP.C05.02</t>
  </si>
  <si>
    <t xml:space="preserve">Utility Structures</t>
  </si>
  <si>
    <t xml:space="preserve">GWP-CIV-1910</t>
  </si>
  <si>
    <t xml:space="preserve">GWP.C05.02.01</t>
  </si>
  <si>
    <t xml:space="preserve">   Substation, Fire Water &amp; Weighbridge Civil</t>
  </si>
  <si>
    <t xml:space="preserve">GWP-CIV-1920</t>
  </si>
  <si>
    <t xml:space="preserve">GWP.C05.02.01.01</t>
  </si>
  <si>
    <t xml:space="preserve">      Electrical substation &amp; DG room civil works</t>
  </si>
  <si>
    <t xml:space="preserve">GWP-CIV-1930</t>
  </si>
  <si>
    <t xml:space="preserve">GWP.C05.02.01.02</t>
  </si>
  <si>
    <t xml:space="preserve">      Fire water tank &amp; pump house civil works</t>
  </si>
  <si>
    <t xml:space="preserve">GWP-CIV-1940</t>
  </si>
  <si>
    <t xml:space="preserve">GWP.C05.02.01.03</t>
  </si>
  <si>
    <t xml:space="preserve">      Weighbridge foundation &amp; approach</t>
  </si>
  <si>
    <t xml:space="preserve">GWP-CIV-1950</t>
  </si>
  <si>
    <t xml:space="preserve">GWP.C05.02.01.04</t>
  </si>
  <si>
    <t xml:space="preserve">      Cable trench &amp; duct bank civil works</t>
  </si>
  <si>
    <t xml:space="preserve">GWP-CIV-1920 FS</t>
  </si>
  <si>
    <t xml:space="preserve">GWP-STR-1010</t>
  </si>
  <si>
    <t xml:space="preserve">GWP.C06.01</t>
  </si>
  <si>
    <t xml:space="preserve">GWP-L3-060</t>
  </si>
  <si>
    <t xml:space="preserve">Steel Structure - Processing Buildings</t>
  </si>
  <si>
    <t xml:space="preserve">STR</t>
  </si>
  <si>
    <t xml:space="preserve">Structural Supervisor</t>
  </si>
  <si>
    <t xml:space="preserve">GWP-STR-1020</t>
  </si>
  <si>
    <t xml:space="preserve">GWP.C06.01.01</t>
  </si>
  <si>
    <t xml:space="preserve">   Procurement &amp; Fabrication</t>
  </si>
  <si>
    <t xml:space="preserve">GWP-STR-1030</t>
  </si>
  <si>
    <t xml:space="preserve">GWP.C06.01.01.01</t>
  </si>
  <si>
    <t xml:space="preserve">      Procure steel sections &amp; plates (contractor scope)</t>
  </si>
  <si>
    <t xml:space="preserve">GWP-EXT-1010 FS</t>
  </si>
  <si>
    <t xml:space="preserve">GWP-STR-1040</t>
  </si>
  <si>
    <t xml:space="preserve">GWP.C06.01.01.02</t>
  </si>
  <si>
    <t xml:space="preserve">      Fabricate columns &amp; roof trusses - Bldg B</t>
  </si>
  <si>
    <t xml:space="preserve">GWP-STR-1030 FS</t>
  </si>
  <si>
    <t xml:space="preserve">GWP-STR-1050</t>
  </si>
  <si>
    <t xml:space="preserve">GWP.C06.01.01.03</t>
  </si>
  <si>
    <t xml:space="preserve">      Fabricate trusses, crane girders &amp; platforms - Bldg C</t>
  </si>
  <si>
    <t xml:space="preserve">GWP-STR-1060</t>
  </si>
  <si>
    <t xml:space="preserve">GWP.C06.01.01.04</t>
  </si>
  <si>
    <t xml:space="preserve">      Shot-blast &amp; primer coat</t>
  </si>
  <si>
    <t xml:space="preserve">GWP-STR-1040 FS</t>
  </si>
  <si>
    <t xml:space="preserve">GWP-STR-1070</t>
  </si>
  <si>
    <t xml:space="preserve">GWP.C06.01.02</t>
  </si>
  <si>
    <t xml:space="preserve">   Erection - Bldg B (Tipping Hall)</t>
  </si>
  <si>
    <t xml:space="preserve">GWP-STR-1080</t>
  </si>
  <si>
    <t xml:space="preserve">GWP.C06.01.02.01</t>
  </si>
  <si>
    <t xml:space="preserve">      Erect steel columns &amp; bracings</t>
  </si>
  <si>
    <t xml:space="preserve">GWP-STR-1060 FS; GWP-CIV-1390 FS</t>
  </si>
  <si>
    <t xml:space="preserve">GWP-STR-1090</t>
  </si>
  <si>
    <t xml:space="preserve">GWP.C06.01.02.02</t>
  </si>
  <si>
    <t xml:space="preserve">      Erect roof trusses &amp; purlins</t>
  </si>
  <si>
    <t xml:space="preserve">GWP-STR-1080 FS</t>
  </si>
  <si>
    <t xml:space="preserve">GWP-STR-1100</t>
  </si>
  <si>
    <t xml:space="preserve">GWP.C06.01.02.03</t>
  </si>
  <si>
    <t xml:space="preserve">      Fix roof sheeting &amp; rainwater gutters</t>
  </si>
  <si>
    <t xml:space="preserve">GWP-STR-1090 FS</t>
  </si>
  <si>
    <t xml:space="preserve">GWP-STR-1110</t>
  </si>
  <si>
    <t xml:space="preserve">GWP.C06.01.02.04</t>
  </si>
  <si>
    <t xml:space="preserve">      Bolt torque check &amp; alignment survey</t>
  </si>
  <si>
    <t xml:space="preserve">GWP-STR-1120</t>
  </si>
  <si>
    <t xml:space="preserve">GWP.C06.01.03</t>
  </si>
  <si>
    <t xml:space="preserve">   Erection - Bldg C (Processing Building)</t>
  </si>
  <si>
    <t xml:space="preserve">GWP-STR-1130</t>
  </si>
  <si>
    <t xml:space="preserve">GWP.C06.01.03.01</t>
  </si>
  <si>
    <t xml:space="preserve">GWP-STR-1050 FS; GWP-STR-1060 FS; GWP-CIV-1560 FS</t>
  </si>
  <si>
    <t xml:space="preserve">GWP-STR-1140</t>
  </si>
  <si>
    <t xml:space="preserve">GWP.C06.01.03.02</t>
  </si>
  <si>
    <t xml:space="preserve">      Erect crane girders &amp; mezzanine framing</t>
  </si>
  <si>
    <t xml:space="preserve">GWP-STR-1130 FS</t>
  </si>
  <si>
    <t xml:space="preserve">GWP-STR-1150</t>
  </si>
  <si>
    <t xml:space="preserve">GWP.C06.01.03.03</t>
  </si>
  <si>
    <t xml:space="preserve">GWP-STR-1160</t>
  </si>
  <si>
    <t xml:space="preserve">GWP.C06.01.03.04</t>
  </si>
  <si>
    <t xml:space="preserve">GWP-STR-1150 FS</t>
  </si>
  <si>
    <t xml:space="preserve">GWP-STR-1170</t>
  </si>
  <si>
    <t xml:space="preserve">GWP.C06.01.03.05</t>
  </si>
  <si>
    <t xml:space="preserve">      Erect sorting platforms, staircases &amp; handrails</t>
  </si>
  <si>
    <t xml:space="preserve">GWP-STR-1140 FS</t>
  </si>
  <si>
    <t xml:space="preserve">GWP-STR-1180</t>
  </si>
  <si>
    <t xml:space="preserve">GWP.C06.01.04</t>
  </si>
  <si>
    <t xml:space="preserve">   Paint &amp; Touch-up</t>
  </si>
  <si>
    <t xml:space="preserve">GWP-STR-1190</t>
  </si>
  <si>
    <t xml:space="preserve">GWP.C06.01.04.01</t>
  </si>
  <si>
    <t xml:space="preserve">      Final coat painting &amp; touch-up</t>
  </si>
  <si>
    <t xml:space="preserve">GWP-STR-1100 FS; GWP-STR-1160 FS; GWP-STR-1170 FS</t>
  </si>
  <si>
    <t xml:space="preserve">GWP-STR-1200</t>
  </si>
  <si>
    <t xml:space="preserve">GWP.C06.02</t>
  </si>
  <si>
    <t xml:space="preserve">Steel Structure - RDF Shed</t>
  </si>
  <si>
    <t xml:space="preserve">GWP-STR-1210</t>
  </si>
  <si>
    <t xml:space="preserve">GWP.C06.02.01</t>
  </si>
  <si>
    <t xml:space="preserve">   RDF Shed Steel</t>
  </si>
  <si>
    <t xml:space="preserve">GWP-STR-1220</t>
  </si>
  <si>
    <t xml:space="preserve">GWP.C06.02.01.01</t>
  </si>
  <si>
    <t xml:space="preserve">      Fabricate RDF shed steel</t>
  </si>
  <si>
    <t xml:space="preserve">GWP-STR-1230</t>
  </si>
  <si>
    <t xml:space="preserve">GWP.C06.02.01.02</t>
  </si>
  <si>
    <t xml:space="preserve">      Erect RDF shed frame &amp; roof sheeting</t>
  </si>
  <si>
    <t xml:space="preserve">GWP-STR-1220 FS; GWP-CIV-1700 FS</t>
  </si>
  <si>
    <t xml:space="preserve">GWP-MEC-1010</t>
  </si>
  <si>
    <t xml:space="preserve">GWP.C07.01</t>
  </si>
  <si>
    <t xml:space="preserve">GWP-L3-070</t>
  </si>
  <si>
    <t xml:space="preserve">Processing Line Equipment</t>
  </si>
  <si>
    <t xml:space="preserve">MEC</t>
  </si>
  <si>
    <t xml:space="preserve">Mechanical Supervisor</t>
  </si>
  <si>
    <t xml:space="preserve">GWP-MEC-1020</t>
  </si>
  <si>
    <t xml:space="preserve">GWP.C07.01.01</t>
  </si>
  <si>
    <t xml:space="preserve">   Trommel &amp; Conveyor System</t>
  </si>
  <si>
    <t xml:space="preserve">GWP-MEC-1030</t>
  </si>
  <si>
    <t xml:space="preserve">GWP.C07.01.01.01</t>
  </si>
  <si>
    <t xml:space="preserve">      Position &amp; level trommel screen on foundation</t>
  </si>
  <si>
    <t xml:space="preserve">GWP-EXT-1020 FS; GWP-CIV-1530 FS</t>
  </si>
  <si>
    <t xml:space="preserve">GWP-MEC-1040</t>
  </si>
  <si>
    <t xml:space="preserve">GWP.C07.01.01.02</t>
  </si>
  <si>
    <t xml:space="preserve">      Alignment, grouting &amp; anchor bolt tightening - trommel</t>
  </si>
  <si>
    <t xml:space="preserve">GWP-MEC-1030 FS</t>
  </si>
  <si>
    <t xml:space="preserve">GWP-MEC-1050</t>
  </si>
  <si>
    <t xml:space="preserve">GWP.C07.01.01.03</t>
  </si>
  <si>
    <t xml:space="preserve">      Erect belt conveyor frames &amp; idlers</t>
  </si>
  <si>
    <t xml:space="preserve">GWP-EXT-1020 FS; GWP-CIV-1510 FS; GWP-STR-1170 FS</t>
  </si>
  <si>
    <t xml:space="preserve">GWP-MEC-1060</t>
  </si>
  <si>
    <t xml:space="preserve">GWP.C07.01.01.04</t>
  </si>
  <si>
    <t xml:space="preserve">      Install conveyor belts, drives &amp; guards</t>
  </si>
  <si>
    <t xml:space="preserve">GWP-MEC-1050 FS</t>
  </si>
  <si>
    <t xml:space="preserve">GWP-MEC-1070</t>
  </si>
  <si>
    <t xml:space="preserve">GWP.C07.01.01.05</t>
  </si>
  <si>
    <t xml:space="preserve">      Install magnetic &amp; eddy current separators</t>
  </si>
  <si>
    <t xml:space="preserve">GWP-MEC-1060 SS+3</t>
  </si>
  <si>
    <t xml:space="preserve">GWP-MEC-1080</t>
  </si>
  <si>
    <t xml:space="preserve">GWP.C07.01.02</t>
  </si>
  <si>
    <t xml:space="preserve">   Shredding &amp; Baling</t>
  </si>
  <si>
    <t xml:space="preserve">GWP-MEC-1090</t>
  </si>
  <si>
    <t xml:space="preserve">GWP.C07.01.02.01</t>
  </si>
  <si>
    <t xml:space="preserve">      Position &amp; align shredder</t>
  </si>
  <si>
    <t xml:space="preserve">GWP-EXT-1030 FS; GWP-CIV-1530 FS</t>
  </si>
  <si>
    <t xml:space="preserve">GWP-MEC-1100</t>
  </si>
  <si>
    <t xml:space="preserve">GWP.C07.01.02.02</t>
  </si>
  <si>
    <t xml:space="preserve">      Grout &amp; tighten anchor bolts - shredder</t>
  </si>
  <si>
    <t xml:space="preserve">GWP-MEC-1090 FS</t>
  </si>
  <si>
    <t xml:space="preserve">GWP-MEC-1110</t>
  </si>
  <si>
    <t xml:space="preserve">GWP.C07.01.02.03</t>
  </si>
  <si>
    <t xml:space="preserve">      Position &amp; align baling press</t>
  </si>
  <si>
    <t xml:space="preserve">GWP-MEC-1120</t>
  </si>
  <si>
    <t xml:space="preserve">GWP.C07.01.02.04</t>
  </si>
  <si>
    <t xml:space="preserve">      Connect hydraulic power pack &amp; tubing</t>
  </si>
  <si>
    <t xml:space="preserve">GWP-MEC-1110 FS</t>
  </si>
  <si>
    <t xml:space="preserve">GWP-MEC-1130</t>
  </si>
  <si>
    <t xml:space="preserve">GWP.C07.02</t>
  </si>
  <si>
    <t xml:space="preserve">Composting &amp; Handling Equipment</t>
  </si>
  <si>
    <t xml:space="preserve">GWP-MEC-1140</t>
  </si>
  <si>
    <t xml:space="preserve">GWP.C07.02.01</t>
  </si>
  <si>
    <t xml:space="preserve">   Aeration &amp; Turning</t>
  </si>
  <si>
    <t xml:space="preserve">GWP-MEC-1150</t>
  </si>
  <si>
    <t xml:space="preserve">GWP.C07.02.01.01</t>
  </si>
  <si>
    <t xml:space="preserve">      Install aeration blowers &amp; air headers</t>
  </si>
  <si>
    <t xml:space="preserve">GWP-EXT-1040 FS; GWP-CIV-1640 FS</t>
  </si>
  <si>
    <t xml:space="preserve">GWP-MEC-1160</t>
  </si>
  <si>
    <t xml:space="preserve">GWP.C07.02.01.02</t>
  </si>
  <si>
    <t xml:space="preserve">      Assemble compost turner</t>
  </si>
  <si>
    <t xml:space="preserve">GWP-EXT-1040 FS; GWP-CIV-1660 FS</t>
  </si>
  <si>
    <t xml:space="preserve">GWP-MEC-1170</t>
  </si>
  <si>
    <t xml:space="preserve">GWP.C07.02.01.03</t>
  </si>
  <si>
    <t xml:space="preserve">      Install compost finishing screen &amp; bagging unit</t>
  </si>
  <si>
    <t xml:space="preserve">GWP-MEC-1180</t>
  </si>
  <si>
    <t xml:space="preserve">GWP.C07.02.02</t>
  </si>
  <si>
    <t xml:space="preserve">   Weighbridge &amp; Hopper Equipment</t>
  </si>
  <si>
    <t xml:space="preserve">GWP-MEC-1190</t>
  </si>
  <si>
    <t xml:space="preserve">GWP.C07.02.02.01</t>
  </si>
  <si>
    <t xml:space="preserve">      Erect weighbridge platform &amp; load cells</t>
  </si>
  <si>
    <t xml:space="preserve">GWP-CIV-1940 FS; GWP-EXT-1020 FS</t>
  </si>
  <si>
    <t xml:space="preserve">GWP-MEC-1200</t>
  </si>
  <si>
    <t xml:space="preserve">GWP.C07.02.02.02</t>
  </si>
  <si>
    <t xml:space="preserve">      Install feed hopper &amp; apron feeder</t>
  </si>
  <si>
    <t xml:space="preserve">GWP-EXT-1020 FS; GWP-CIV-1400 FS</t>
  </si>
  <si>
    <t xml:space="preserve">GWP-MEC-1210</t>
  </si>
  <si>
    <t xml:space="preserve">GWP.C07.02.02.03</t>
  </si>
  <si>
    <t xml:space="preserve">      Install overhead grab crane in tipping hall</t>
  </si>
  <si>
    <t xml:space="preserve">GWP-STR-1090 FS; GWP-EXT-1020 FS</t>
  </si>
  <si>
    <t xml:space="preserve">GWP-MEC-1220</t>
  </si>
  <si>
    <t xml:space="preserve">GWP.C07.02.02.04</t>
  </si>
  <si>
    <t xml:space="preserve">      Heavy equipment lifting &amp; placement complete</t>
  </si>
  <si>
    <t xml:space="preserve">Milestone</t>
  </si>
  <si>
    <t xml:space="preserve">GWP-MEC-1030 FS; GWP-MEC-1090 FS; GWP-MEC-1110 FS; GWP-MEC-1210 FS</t>
  </si>
  <si>
    <t xml:space="preserve">GWP-PIP-1010</t>
  </si>
  <si>
    <t xml:space="preserve">GWP.C08.01</t>
  </si>
  <si>
    <t xml:space="preserve">GWP-L3-080</t>
  </si>
  <si>
    <t xml:space="preserve">Leachate Treatment Plant (ETP) Mechanical</t>
  </si>
  <si>
    <t xml:space="preserve">PIP</t>
  </si>
  <si>
    <t xml:space="preserve">Piping Supervisor</t>
  </si>
  <si>
    <t xml:space="preserve">GWP-PIP-1020</t>
  </si>
  <si>
    <t xml:space="preserve">GWP.C08.01.01</t>
  </si>
  <si>
    <t xml:space="preserve">   Equipment &amp; Pumps</t>
  </si>
  <si>
    <t xml:space="preserve">GWP-PIP-1030</t>
  </si>
  <si>
    <t xml:space="preserve">GWP.C08.01.01.01</t>
  </si>
  <si>
    <t xml:space="preserve">      Place ETP skid &amp; dosing tanks</t>
  </si>
  <si>
    <t xml:space="preserve">GWP-EXT-1050 FS; GWP-CIV-1780 FS</t>
  </si>
  <si>
    <t xml:space="preserve">GWP-PIP-1040</t>
  </si>
  <si>
    <t xml:space="preserve">GWP.C08.01.01.02</t>
  </si>
  <si>
    <t xml:space="preserve">      Install leachate &amp; transfer pumps</t>
  </si>
  <si>
    <t xml:space="preserve">GWP-PIP-1050</t>
  </si>
  <si>
    <t xml:space="preserve">GWP.C08.01.02</t>
  </si>
  <si>
    <t xml:space="preserve">   Piping</t>
  </si>
  <si>
    <t xml:space="preserve">GWP-PIP-1060</t>
  </si>
  <si>
    <t xml:space="preserve">GWP.C08.01.02.01</t>
  </si>
  <si>
    <t xml:space="preserve">      Prefabricate pipe spools (leachate &amp; process water)</t>
  </si>
  <si>
    <t xml:space="preserve">Spools</t>
  </si>
  <si>
    <t xml:space="preserve">GWP-PIP-1070</t>
  </si>
  <si>
    <t xml:space="preserve">GWP.C08.01.02.02</t>
  </si>
  <si>
    <t xml:space="preserve">      Erect pipe spools &amp; supports</t>
  </si>
  <si>
    <t xml:space="preserve">GWP-PIP-1060 FS; GWP-PIP-1040 FS; GWP-PIP-1030 FS</t>
  </si>
  <si>
    <t xml:space="preserve">GWP-PIP-1080</t>
  </si>
  <si>
    <t xml:space="preserve">GWP.C08.01.02.03</t>
  </si>
  <si>
    <t xml:space="preserve">      Complete field welds &amp; NDT (RT/DP)</t>
  </si>
  <si>
    <t xml:space="preserve">Joints</t>
  </si>
  <si>
    <t xml:space="preserve">GWP-PIP-1070 FS</t>
  </si>
  <si>
    <t xml:space="preserve">GWP-PIP-1090</t>
  </si>
  <si>
    <t xml:space="preserve">GWP.C08.02</t>
  </si>
  <si>
    <t xml:space="preserve">Fire Water &amp; Utility Piping</t>
  </si>
  <si>
    <t xml:space="preserve">GWP-PIP-1100</t>
  </si>
  <si>
    <t xml:space="preserve">GWP.C08.02.01</t>
  </si>
  <si>
    <t xml:space="preserve">   Fire Water Network</t>
  </si>
  <si>
    <t xml:space="preserve">GWP-PIP-1110</t>
  </si>
  <si>
    <t xml:space="preserve">GWP.C08.02.01.01</t>
  </si>
  <si>
    <t xml:space="preserve">      Lay underground fire water main</t>
  </si>
  <si>
    <t xml:space="preserve">GWP-CIV-1190 FS</t>
  </si>
  <si>
    <t xml:space="preserve">GWP-PIP-1120</t>
  </si>
  <si>
    <t xml:space="preserve">GWP.C08.02.01.02</t>
  </si>
  <si>
    <t xml:space="preserve">      Erect hydrants, monitors &amp; sprinkler headers</t>
  </si>
  <si>
    <t xml:space="preserve">GWP-PIP-1110 FS; GWP-STR-1160 FS</t>
  </si>
  <si>
    <t xml:space="preserve">GWP-PIP-1130</t>
  </si>
  <si>
    <t xml:space="preserve">GWP.C08.02.01.03</t>
  </si>
  <si>
    <t xml:space="preserve">      Install fire pumps &amp; jockey pump</t>
  </si>
  <si>
    <t xml:space="preserve">GWP-CIV-1930 FS; GWP-EXT-1050 FS</t>
  </si>
  <si>
    <t xml:space="preserve">GWP-PIP-1140</t>
  </si>
  <si>
    <t xml:space="preserve">GWP.C08.02.02</t>
  </si>
  <si>
    <t xml:space="preserve">   Water Supply &amp; Drainage</t>
  </si>
  <si>
    <t xml:space="preserve">GWP-PIP-1150</t>
  </si>
  <si>
    <t xml:space="preserve">GWP.C08.02.02.01</t>
  </si>
  <si>
    <t xml:space="preserve">      Domestic water supply &amp; plumbing (admin building)</t>
  </si>
  <si>
    <t xml:space="preserve">GWP-PIP-1160</t>
  </si>
  <si>
    <t xml:space="preserve">GWP.C08.02.02.02</t>
  </si>
  <si>
    <t xml:space="preserve">      Sewer line &amp; septic tank connection</t>
  </si>
  <si>
    <t xml:space="preserve">GWP-ELE-1010</t>
  </si>
  <si>
    <t xml:space="preserve">GWP.C09.01</t>
  </si>
  <si>
    <t xml:space="preserve">GWP-L3-090</t>
  </si>
  <si>
    <t xml:space="preserve">Power Distribution</t>
  </si>
  <si>
    <t xml:space="preserve">ELE</t>
  </si>
  <si>
    <t xml:space="preserve">Electrical Supervisor</t>
  </si>
  <si>
    <t xml:space="preserve">GWP-ELE-1020</t>
  </si>
  <si>
    <t xml:space="preserve">GWP.C09.01.01</t>
  </si>
  <si>
    <t xml:space="preserve">   Substation, DG &amp; Earthing</t>
  </si>
  <si>
    <t xml:space="preserve">GWP-ELE-1030</t>
  </si>
  <si>
    <t xml:space="preserve">GWP.C09.01.01.01</t>
  </si>
  <si>
    <t xml:space="preserve">      Install 11kV/415V transformer &amp; HT panel</t>
  </si>
  <si>
    <t xml:space="preserve">GWP-EXT-1060 FS; GWP-CIV-1920 FS</t>
  </si>
  <si>
    <t xml:space="preserve">GWP-ELE-1040</t>
  </si>
  <si>
    <t xml:space="preserve">GWP.C09.01.01.02</t>
  </si>
  <si>
    <t xml:space="preserve">      Install LT panels, MCCs &amp; capacitor bank</t>
  </si>
  <si>
    <t xml:space="preserve">GWP-ELE-1050</t>
  </si>
  <si>
    <t xml:space="preserve">GWP.C09.01.01.03</t>
  </si>
  <si>
    <t xml:space="preserve">      Install DG set &amp; AMF panel</t>
  </si>
  <si>
    <t xml:space="preserve">GWP-ELE-1060</t>
  </si>
  <si>
    <t xml:space="preserve">GWP.C09.01.01.04</t>
  </si>
  <si>
    <t xml:space="preserve">      Earthing grid &amp; lightning protection installation</t>
  </si>
  <si>
    <t xml:space="preserve">GWP-ELE-1070</t>
  </si>
  <si>
    <t xml:space="preserve">GWP.C09.01.02</t>
  </si>
  <si>
    <t xml:space="preserve">   Cabling</t>
  </si>
  <si>
    <t xml:space="preserve">GWP-ELE-1080</t>
  </si>
  <si>
    <t xml:space="preserve">GWP.C09.01.02.01</t>
  </si>
  <si>
    <t xml:space="preserve">      Erect cable trays &amp; supports</t>
  </si>
  <si>
    <t xml:space="preserve">GWP-STR-1160 FS; GWP-CIV-1950 FS</t>
  </si>
  <si>
    <t xml:space="preserve">GWP-ELE-1090</t>
  </si>
  <si>
    <t xml:space="preserve">GWP.C09.01.02.02</t>
  </si>
  <si>
    <t xml:space="preserve">      Lay power &amp; control cables in trays and trenches</t>
  </si>
  <si>
    <t xml:space="preserve">GWP-ELE-1080 FS; GWP-ELE-1040 FS</t>
  </si>
  <si>
    <t xml:space="preserve">GWP-ELE-1100</t>
  </si>
  <si>
    <t xml:space="preserve">GWP.C09.01.02.03</t>
  </si>
  <si>
    <t xml:space="preserve">      Cable dressing, glanding &amp; termination</t>
  </si>
  <si>
    <t xml:space="preserve">GWP-ELE-1090 FS; GWP-MEC-1220 FS; GWP-MEC-1060 FS</t>
  </si>
  <si>
    <t xml:space="preserve">GWP-ELE-1110</t>
  </si>
  <si>
    <t xml:space="preserve">GWP.C09.01.03</t>
  </si>
  <si>
    <t xml:space="preserve">   Lighting &amp; Equipment Earthing</t>
  </si>
  <si>
    <t xml:space="preserve">GWP-ELE-1120</t>
  </si>
  <si>
    <t xml:space="preserve">GWP.C09.01.03.01</t>
  </si>
  <si>
    <t xml:space="preserve">      Install internal lighting &amp; small power in buildings</t>
  </si>
  <si>
    <t xml:space="preserve">GWP-CIV-1860 FS; GWP-STR-1160 FS</t>
  </si>
  <si>
    <t xml:space="preserve">GWP-ELE-1130</t>
  </si>
  <si>
    <t xml:space="preserve">GWP.C09.01.03.02</t>
  </si>
  <si>
    <t xml:space="preserve">      Install high-mast &amp; street lighting</t>
  </si>
  <si>
    <t xml:space="preserve">GWP-ELE-1140</t>
  </si>
  <si>
    <t xml:space="preserve">GWP.C09.01.03.03</t>
  </si>
  <si>
    <t xml:space="preserve">      Connect equipment earthing &amp; test earth pits</t>
  </si>
  <si>
    <t xml:space="preserve">GWP-ELE-1100 FS</t>
  </si>
  <si>
    <t xml:space="preserve">GWP-INS-1010</t>
  </si>
  <si>
    <t xml:space="preserve">GWP.C10.01</t>
  </si>
  <si>
    <t xml:space="preserve">GWP-L3-100</t>
  </si>
  <si>
    <t xml:space="preserve">Instrumentation &amp; Automation</t>
  </si>
  <si>
    <t xml:space="preserve">INS</t>
  </si>
  <si>
    <t xml:space="preserve">Instrumentation Supervisor</t>
  </si>
  <si>
    <t xml:space="preserve">GWP-INS-1020</t>
  </si>
  <si>
    <t xml:space="preserve">GWP.C10.01.01</t>
  </si>
  <si>
    <t xml:space="preserve">   Field Instruments</t>
  </si>
  <si>
    <t xml:space="preserve">GWP-INS-1030</t>
  </si>
  <si>
    <t xml:space="preserve">GWP.C10.01.01.01</t>
  </si>
  <si>
    <t xml:space="preserve">      Install instrument cable trays &amp; conduits</t>
  </si>
  <si>
    <t xml:space="preserve">GWP-ELE-1080 SS+5</t>
  </si>
  <si>
    <t xml:space="preserve">GWP-INS-1040</t>
  </si>
  <si>
    <t xml:space="preserve">GWP.C10.01.01.02</t>
  </si>
  <si>
    <t xml:space="preserve">      Mount field instruments (level, pressure, flow, proximity)</t>
  </si>
  <si>
    <t xml:space="preserve">GWP-EXT-1070 FS; GWP-MEC-1060 FS</t>
  </si>
  <si>
    <t xml:space="preserve">GWP-INS-1050</t>
  </si>
  <si>
    <t xml:space="preserve">GWP.C10.01.01.03</t>
  </si>
  <si>
    <t xml:space="preserve">      Lay &amp; terminate instrument cables</t>
  </si>
  <si>
    <t xml:space="preserve">GWP-INS-1030 FS; GWP-INS-1040 FS</t>
  </si>
  <si>
    <t xml:space="preserve">GWP-INS-1060</t>
  </si>
  <si>
    <t xml:space="preserve">GWP.C10.01.02</t>
  </si>
  <si>
    <t xml:space="preserve">   Control System</t>
  </si>
  <si>
    <t xml:space="preserve">GWP-INS-1070</t>
  </si>
  <si>
    <t xml:space="preserve">GWP.C10.01.02.01</t>
  </si>
  <si>
    <t xml:space="preserve">      Install PLC/SCADA panels &amp; control room furniture</t>
  </si>
  <si>
    <t xml:space="preserve">GWP-EXT-1070 FS; GWP-CIV-1890 FS</t>
  </si>
  <si>
    <t xml:space="preserve">GWP-INS-1080</t>
  </si>
  <si>
    <t xml:space="preserve">GWP.C10.01.02.02</t>
  </si>
  <si>
    <t xml:space="preserve">      Weighbridge indicator &amp; software integration wiring</t>
  </si>
  <si>
    <t xml:space="preserve">GWP-MEC-1190 FS; GWP-INS-1070 FS</t>
  </si>
  <si>
    <t xml:space="preserve">GWP-INS-1090</t>
  </si>
  <si>
    <t xml:space="preserve">GWP.C10.01.02.03</t>
  </si>
  <si>
    <t xml:space="preserve">      Install CCTV, fire alarm &amp; PA system</t>
  </si>
  <si>
    <t xml:space="preserve">GWP-CIV-1890 FS; GWP-STR-1160 FS</t>
  </si>
  <si>
    <t xml:space="preserve">GWP-QAQC-1030</t>
  </si>
  <si>
    <t xml:space="preserve">GWP.C11.01</t>
  </si>
  <si>
    <t xml:space="preserve">GWP-L3-110</t>
  </si>
  <si>
    <t xml:space="preserve">Inspection, Testing &amp; Mechanical Completion</t>
  </si>
  <si>
    <t xml:space="preserve">GWP-QAQC-1040</t>
  </si>
  <si>
    <t xml:space="preserve">GWP.C11.01.01</t>
  </si>
  <si>
    <t xml:space="preserve">   Civil &amp; Structural Inspection</t>
  </si>
  <si>
    <t xml:space="preserve">GWP-QAQC-1050</t>
  </si>
  <si>
    <t xml:space="preserve">GWP.C11.01.01.01</t>
  </si>
  <si>
    <t xml:space="preserve">      Civil works final inspection &amp; as-built survey</t>
  </si>
  <si>
    <t xml:space="preserve">GWP-CIV-1890 FS; GWP-CIV-1220 FS; GWP-CIV-1780 FS; GWP-CIV-1650 FS; GWP-CIV-1720 FS; GWP-CIV-1100 FS; GWP-CIV-1110 FS; GWP-CIV-1170 FS</t>
  </si>
  <si>
    <t xml:space="preserve">GWP-QAQC-1060</t>
  </si>
  <si>
    <t xml:space="preserve">GWP.C11.01.01.02</t>
  </si>
  <si>
    <t xml:space="preserve">      Structural steel final inspection &amp; bolt torque audit</t>
  </si>
  <si>
    <t xml:space="preserve">GWP-STR-1190 FS; GWP-STR-1230 FS</t>
  </si>
  <si>
    <t xml:space="preserve">GWP-QAQC-1070</t>
  </si>
  <si>
    <t xml:space="preserve">GWP.C11.01.02</t>
  </si>
  <si>
    <t xml:space="preserve">   Mechanical &amp; Piping Tests</t>
  </si>
  <si>
    <t xml:space="preserve">GWP-QAQC-1080</t>
  </si>
  <si>
    <t xml:space="preserve">GWP.C11.01.02.01</t>
  </si>
  <si>
    <t xml:space="preserve">      Hydrotest of piping and leachate tanks</t>
  </si>
  <si>
    <t xml:space="preserve">GWP-PIP-1080 FS; GWP-PIP-1120 FS</t>
  </si>
  <si>
    <t xml:space="preserve">GWP-QAQC-1090</t>
  </si>
  <si>
    <t xml:space="preserve">GWP.C11.01.02.02</t>
  </si>
  <si>
    <t xml:space="preserve">      Flushing, cleaning &amp; leak test</t>
  </si>
  <si>
    <t xml:space="preserve">GWP-QAQC-1080 FS</t>
  </si>
  <si>
    <t xml:space="preserve">GWP-QAQC-1100</t>
  </si>
  <si>
    <t xml:space="preserve">GWP.C11.01.02.03</t>
  </si>
  <si>
    <t xml:space="preserve">      Final alignment &amp; no-load (cold) run of machines</t>
  </si>
  <si>
    <t xml:space="preserve">GWP-ELE-1140 FS; GWP-MEC-1040 FS; GWP-MEC-1070 FS; GWP-MEC-1100 FS; GWP-MEC-1120 FS; GWP-MEC-1150 FS; GWP-MEC-1160 FS; GWP-MEC-1170 FS; GWP-MEC-1200 FS; GWP-MEC-1210 FS</t>
  </si>
  <si>
    <t xml:space="preserve">GWP-QAQC-1110</t>
  </si>
  <si>
    <t xml:space="preserve">GWP.C11.01.03</t>
  </si>
  <si>
    <t xml:space="preserve">   Electrical &amp; Instrument Tests</t>
  </si>
  <si>
    <t xml:space="preserve">GWP-QAQC-1120</t>
  </si>
  <si>
    <t xml:space="preserve">GWP.C11.01.03.01</t>
  </si>
  <si>
    <t xml:space="preserve">      Megger insulation test of cables &amp; motors</t>
  </si>
  <si>
    <t xml:space="preserve">GWP-QAQC-1130</t>
  </si>
  <si>
    <t xml:space="preserve">GWP.C11.01.03.02</t>
  </si>
  <si>
    <t xml:space="preserve">      Relay &amp; protection settings test, panel energisation</t>
  </si>
  <si>
    <t xml:space="preserve">GWP-QAQC-1120 FS; GWP-ELE-1030 FS; GWP-ELE-1050 FS</t>
  </si>
  <si>
    <t xml:space="preserve">GWP-QAQC-1140</t>
  </si>
  <si>
    <t xml:space="preserve">GWP.C11.01.03.03</t>
  </si>
  <si>
    <t xml:space="preserve">      Instrument loop checks &amp; calibration</t>
  </si>
  <si>
    <t xml:space="preserve">Loops</t>
  </si>
  <si>
    <t xml:space="preserve">GWP-INS-1050 FS; GWP-INS-1070 FS; GWP-INS-1080 FS</t>
  </si>
  <si>
    <t xml:space="preserve">GWP-QAQC-1150</t>
  </si>
  <si>
    <t xml:space="preserve">GWP.C11.01.04</t>
  </si>
  <si>
    <t xml:space="preserve">   Punch List &amp; Handover</t>
  </si>
  <si>
    <t xml:space="preserve">GWP-QAQC-1160</t>
  </si>
  <si>
    <t xml:space="preserve">GWP.C11.01.04.01</t>
  </si>
  <si>
    <t xml:space="preserve">      Punch list walkdown &amp; rectification</t>
  </si>
  <si>
    <t xml:space="preserve">GWP-QAQC-1100 FS; GWP-QAQC-1130 FS; GWP-QAQC-1140 FS; GWP-QAQC-1090 FS; GWP-QAQC-1050 FS; GWP-QAQC-1060 FS; GWP-ELE-1120 FS; GWP-ELE-1130 FS; GWP-INS-1090 FS; GWP-MEC-1190 FS</t>
  </si>
  <si>
    <t xml:space="preserve">GWP-QAQC-1170</t>
  </si>
  <si>
    <t xml:space="preserve">GWP.C11.01.04.02</t>
  </si>
  <si>
    <t xml:space="preserve">      Compile as-built drawings &amp; test records dossier</t>
  </si>
  <si>
    <t xml:space="preserve">GWP-QAQC-1160 SS+4</t>
  </si>
  <si>
    <t xml:space="preserve">GWP-QAQC-1180</t>
  </si>
  <si>
    <t xml:space="preserve">GWP.C11.01.04.03</t>
  </si>
  <si>
    <t xml:space="preserve">      Mechanical Completion certificate (construction package)</t>
  </si>
  <si>
    <t xml:space="preserve">GWP-QAQC-1160 FS; GWP-QAQC-1170 FS</t>
  </si>
  <si>
    <t xml:space="preserve">Level 3 Activities Assigned to the Construction Contractor (Consultant P6 schedule)</t>
  </si>
  <si>
    <t xml:space="preserve">Dates, counts and progress are calculated from the L4-L6 Schedule sheet. In the full project these L3 nodes sit inside the consultant's P6 L3 schedule.</t>
  </si>
  <si>
    <t xml:space="preserve">L3 Activity ID</t>
  </si>
  <si>
    <t xml:space="preserve">L3 Activity Name</t>
  </si>
  <si>
    <t xml:space="preserve">Scope Summary</t>
  </si>
  <si>
    <t xml:space="preserve">Duration (wd)</t>
  </si>
  <si>
    <t xml:space="preserve"># L4</t>
  </si>
  <si>
    <t xml:space="preserve"># L5</t>
  </si>
  <si>
    <t xml:space="preserve"># L6 tasks</t>
  </si>
  <si>
    <t xml:space="preserve">GWP.C01</t>
  </si>
  <si>
    <t xml:space="preserve">Site Mobilisation &amp; Temporary Facilities</t>
  </si>
  <si>
    <t xml:space="preserve">Site handover, temporary facilities, HSE/QA setup, survey control</t>
  </si>
  <si>
    <t xml:space="preserve">GWP.C02</t>
  </si>
  <si>
    <t xml:space="preserve">Site Development &amp; Enabling Works</t>
  </si>
  <si>
    <t xml:space="preserve">Grading, boundary wall, storm drains, internal roads</t>
  </si>
  <si>
    <t xml:space="preserve">GWP.C03</t>
  </si>
  <si>
    <t xml:space="preserve">Civil Works - Process Buildings</t>
  </si>
  <si>
    <t xml:space="preserve">Tipping/receiving hall (Bldg B) and segregation &amp; processing building (Bldg C): foundations, RCC, floors</t>
  </si>
  <si>
    <t xml:space="preserve">GWP.C04</t>
  </si>
  <si>
    <t xml:space="preserve">Civil Works - Composting Yard, RDF Shed &amp; Leachate Tanks</t>
  </si>
  <si>
    <t xml:space="preserve">Compost platform, RDF shed foundation/floor, leachate sump and tanks</t>
  </si>
  <si>
    <t xml:space="preserve">GWP.C05</t>
  </si>
  <si>
    <t xml:space="preserve">Civil Works - Administration &amp; Utility Buildings</t>
  </si>
  <si>
    <t xml:space="preserve">Admin/control building, substation &amp; DG room, fire water tank, weighbridge foundation</t>
  </si>
  <si>
    <t xml:space="preserve">GWP.C06</t>
  </si>
  <si>
    <t xml:space="preserve">Structural Steel Fabrication &amp; Erection</t>
  </si>
  <si>
    <t xml:space="preserve">Trusses, columns, crane girders, platforms, roof sheeting, painting</t>
  </si>
  <si>
    <t xml:space="preserve">GWP.C07</t>
  </si>
  <si>
    <t xml:space="preserve">Mechanical Equipment Erection</t>
  </si>
  <si>
    <t xml:space="preserve">Erection and alignment of supplier-furnished process equipment</t>
  </si>
  <si>
    <t xml:space="preserve">GWP.C08</t>
  </si>
  <si>
    <t xml:space="preserve">Piping, Fire Water &amp; ETP Mechanical Works</t>
  </si>
  <si>
    <t xml:space="preserve">Leachate/process piping, fire water network, ETP skids and pumps, plumbing</t>
  </si>
  <si>
    <t xml:space="preserve">GWP.C09</t>
  </si>
  <si>
    <t xml:space="preserve">Electrical Installation</t>
  </si>
  <si>
    <t xml:space="preserve">Transformer, panels, DG, earthing, cable trays, cabling, lighting</t>
  </si>
  <si>
    <t xml:space="preserve">GWP.C10</t>
  </si>
  <si>
    <t xml:space="preserve">Instrumentation &amp; Automation Installation</t>
  </si>
  <si>
    <t xml:space="preserve">Field instruments, PLC/SCADA, weighbridge integration, CCTV &amp; fire alarm</t>
  </si>
  <si>
    <t xml:space="preserve">GWP.C11</t>
  </si>
  <si>
    <t xml:space="preserve">Construction Inspection, Testing &amp; Mechanical Completion</t>
  </si>
  <si>
    <t xml:space="preserve">Hydrotests, megger, loop checks, cold runs, punch list, documentation, MC certificate</t>
  </si>
  <si>
    <t xml:space="preserve">Package total</t>
  </si>
  <si>
    <t xml:space="preserve">The last L3 node (Inspection, Testing &amp; Mechanical Completion) ends with milestone "Mechanical Completion certificate (construction package)"; pre-commissioning and commissioning follow in other packages of the full L3 schedule.</t>
  </si>
</sst>
</file>

<file path=xl/styles.xml><?xml version="1.0" encoding="utf-8"?>
<styleSheet xmlns="http://schemas.openxmlformats.org/spreadsheetml/2006/main">
  <numFmts count="6">
    <numFmt numFmtId="164" formatCode="General"/>
    <numFmt numFmtId="165" formatCode="General"/>
    <numFmt numFmtId="166" formatCode="dd\-mmm\-yy"/>
    <numFmt numFmtId="167" formatCode="0"/>
    <numFmt numFmtId="168" formatCode="0%"/>
    <numFmt numFmtId="169"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i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i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CE4D6"/>
        <bgColor rgb="FFDDEBF7"/>
      </patternFill>
    </fill>
    <fill>
      <patternFill patternType="solid">
        <fgColor rgb="FFBDD7EE"/>
        <bgColor rgb="FF99CCFF"/>
      </patternFill>
    </fill>
    <fill>
      <patternFill patternType="solid">
        <fgColor rgb="FFDDEBF7"/>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7" fontId="5"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68" fontId="5" fillId="6"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BDD7EE"/>
          <bgColor rgb="FF000000"/>
        </patternFill>
      </fill>
    </dxf>
    <dxf>
      <fill>
        <patternFill patternType="solid">
          <fgColor rgb="FFDDEBF7"/>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FFF00"/>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48" hidden="false" customHeight="true" outlineLevel="0" collapsed="false">
      <c r="A3" s="2" t="s">
        <v>1</v>
      </c>
      <c r="B3" s="3" t="s">
        <v>2</v>
      </c>
    </row>
    <row r="4" customFormat="false" ht="48" hidden="false" customHeight="true" outlineLevel="0" collapsed="false">
      <c r="A4" s="2" t="s">
        <v>3</v>
      </c>
      <c r="B4" s="3" t="s">
        <v>4</v>
      </c>
    </row>
    <row r="5" customFormat="false" ht="33" hidden="false" customHeight="true" outlineLevel="0" collapsed="false">
      <c r="A5" s="2" t="s">
        <v>5</v>
      </c>
      <c r="B5" s="3" t="s">
        <v>6</v>
      </c>
    </row>
    <row r="6" customFormat="false" ht="48" hidden="false" customHeight="true" outlineLevel="0" collapsed="false">
      <c r="A6" s="2" t="s">
        <v>7</v>
      </c>
      <c r="B6" s="3" t="s">
        <v>8</v>
      </c>
    </row>
    <row r="7" customFormat="false" ht="48" hidden="false" customHeight="true" outlineLevel="0" collapsed="false">
      <c r="A7" s="2" t="s">
        <v>9</v>
      </c>
      <c r="B7" s="3" t="s">
        <v>10</v>
      </c>
    </row>
    <row r="8" customFormat="false" ht="33" hidden="false" customHeight="true" outlineLevel="0" collapsed="false">
      <c r="A8" s="2" t="s">
        <v>11</v>
      </c>
      <c r="B8" s="3" t="s">
        <v>12</v>
      </c>
    </row>
    <row r="9" customFormat="false" ht="33" hidden="false" customHeight="true" outlineLevel="0" collapsed="false">
      <c r="A9" s="2" t="s">
        <v>13</v>
      </c>
      <c r="B9" s="3" t="s">
        <v>14</v>
      </c>
    </row>
    <row r="10" customFormat="false" ht="48" hidden="false" customHeight="true" outlineLevel="0" collapsed="false">
      <c r="A10" s="2" t="s">
        <v>15</v>
      </c>
      <c r="B10" s="3" t="s">
        <v>16</v>
      </c>
    </row>
    <row r="11" customFormat="false" ht="48" hidden="false" customHeight="true" outlineLevel="0" collapsed="false">
      <c r="A11" s="2" t="s">
        <v>17</v>
      </c>
      <c r="B11" s="3" t="s">
        <v>18</v>
      </c>
    </row>
    <row r="12" customFormat="false" ht="63" hidden="false" customHeight="true" outlineLevel="0" collapsed="false">
      <c r="A12" s="2" t="s">
        <v>19</v>
      </c>
      <c r="B12" s="3" t="s">
        <v>20</v>
      </c>
    </row>
    <row r="13" customFormat="false" ht="48" hidden="false" customHeight="true" outlineLevel="0" collapsed="false">
      <c r="A13" s="2" t="s">
        <v>21</v>
      </c>
      <c r="B13" s="3" t="s">
        <v>22</v>
      </c>
    </row>
    <row r="15" customFormat="false" ht="31.5" hidden="false" customHeight="true" outlineLevel="0" collapsed="false">
      <c r="A15" s="4" t="s">
        <v>23</v>
      </c>
      <c r="B15" s="3" t="s">
        <v>24</v>
      </c>
    </row>
    <row r="17" customFormat="false" ht="15" hidden="false" customHeight="false" outlineLevel="0" collapsed="false">
      <c r="A17" s="4" t="s">
        <v>25</v>
      </c>
    </row>
    <row r="18" customFormat="false" ht="15" hidden="false" customHeight="false" outlineLevel="0" collapsed="false">
      <c r="A18" s="5" t="s">
        <v>26</v>
      </c>
      <c r="B18" s="6" t="n">
        <f aca="false">COUNTIF('L4-L6 Schedule'!$C$6:$C$220,"L4")</f>
        <v>19</v>
      </c>
    </row>
    <row r="19" customFormat="false" ht="15" hidden="false" customHeight="false" outlineLevel="0" collapsed="false">
      <c r="A19" s="5" t="s">
        <v>27</v>
      </c>
      <c r="B19" s="6" t="n">
        <f aca="false">COUNTIF('L4-L6 Schedule'!$C$6:$C$220,"L5")</f>
        <v>40</v>
      </c>
    </row>
    <row r="20" customFormat="false" ht="15" hidden="false" customHeight="false" outlineLevel="0" collapsed="false">
      <c r="A20" s="5" t="s">
        <v>28</v>
      </c>
      <c r="B20" s="6" t="n">
        <f aca="false">COUNTIF('L4-L6 Schedule'!$C$6:$C$220,"L6")</f>
        <v>149</v>
      </c>
    </row>
    <row r="21" customFormat="false" ht="15" hidden="false" customHeight="false" outlineLevel="0" collapsed="false">
      <c r="A21" s="5" t="s">
        <v>29</v>
      </c>
      <c r="B21" s="6" t="n">
        <f aca="false">COUNTIF('L4-L6 Schedule'!$C$6:$C$220,"EXT")</f>
        <v>7</v>
      </c>
    </row>
    <row r="22" customFormat="false" ht="15" hidden="false" customHeight="false" outlineLevel="0" collapsed="false">
      <c r="A22" s="5" t="s">
        <v>30</v>
      </c>
      <c r="B22" s="6" t="n">
        <f aca="false">SUM(B18:B21)</f>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70"/>
    <col collapsed="false" customWidth="true" hidden="false" outlineLevel="0" max="3" min="3" style="0" width="34"/>
    <col collapsed="false" customWidth="true" hidden="false" outlineLevel="0" max="4" min="4" style="0" width="24"/>
  </cols>
  <sheetData>
    <row r="1" customFormat="false" ht="17.35" hidden="false" customHeight="false" outlineLevel="0" collapsed="false">
      <c r="A1" s="1" t="s">
        <v>31</v>
      </c>
    </row>
    <row r="2" customFormat="false" ht="15" hidden="false" customHeight="false" outlineLevel="0" collapsed="false">
      <c r="A2" s="7" t="s">
        <v>32</v>
      </c>
    </row>
    <row r="4" customFormat="false" ht="15" hidden="false" customHeight="false" outlineLevel="0" collapsed="false">
      <c r="A4" s="8" t="s">
        <v>33</v>
      </c>
      <c r="B4" s="8" t="s">
        <v>34</v>
      </c>
      <c r="C4" s="8" t="s">
        <v>35</v>
      </c>
    </row>
    <row r="5" customFormat="false" ht="15" hidden="false" customHeight="false" outlineLevel="0" collapsed="false">
      <c r="A5" s="5" t="s">
        <v>36</v>
      </c>
      <c r="B5" s="9" t="n">
        <v>46388</v>
      </c>
      <c r="C5" s="10" t="s">
        <v>37</v>
      </c>
    </row>
    <row r="6" customFormat="false" ht="15" hidden="false" customHeight="false" outlineLevel="0" collapsed="false">
      <c r="A6" s="5" t="s">
        <v>38</v>
      </c>
      <c r="B6" s="9" t="n">
        <v>46664</v>
      </c>
      <c r="C6" s="10" t="s">
        <v>39</v>
      </c>
    </row>
    <row r="7" customFormat="false" ht="15" hidden="false" customHeight="false" outlineLevel="0" collapsed="false">
      <c r="A7" s="5" t="s">
        <v>40</v>
      </c>
      <c r="B7" s="9" t="n">
        <v>47118</v>
      </c>
      <c r="C7" s="10" t="s">
        <v>41</v>
      </c>
    </row>
    <row r="8" customFormat="false" ht="15" hidden="false" customHeight="false" outlineLevel="0" collapsed="false">
      <c r="A8" s="5" t="s">
        <v>42</v>
      </c>
      <c r="B8" s="11" t="s">
        <v>43</v>
      </c>
      <c r="C8" s="10" t="s">
        <v>44</v>
      </c>
    </row>
    <row r="11" customFormat="false" ht="15" hidden="false" customHeight="false" outlineLevel="0" collapsed="false">
      <c r="A11" s="4" t="s">
        <v>45</v>
      </c>
    </row>
    <row r="12" customFormat="false" ht="31.5" hidden="false" customHeight="true" outlineLevel="0" collapsed="false">
      <c r="A12" s="12" t="s">
        <v>46</v>
      </c>
      <c r="B12" s="12" t="s">
        <v>47</v>
      </c>
      <c r="C12" s="12" t="s">
        <v>48</v>
      </c>
      <c r="D12" s="12" t="s">
        <v>49</v>
      </c>
    </row>
    <row r="13" customFormat="false" ht="15" hidden="false" customHeight="false" outlineLevel="0" collapsed="false">
      <c r="A13" s="5" t="s">
        <v>50</v>
      </c>
      <c r="B13" s="5" t="s">
        <v>51</v>
      </c>
      <c r="C13" s="13" t="n">
        <v>20</v>
      </c>
      <c r="D13" s="14" t="n">
        <f aca="false">WORKDAY.INTL(Assumptions!$B$6,C13,11)</f>
        <v>46687</v>
      </c>
    </row>
    <row r="14" customFormat="false" ht="15" hidden="false" customHeight="false" outlineLevel="0" collapsed="false">
      <c r="A14" s="5" t="s">
        <v>52</v>
      </c>
      <c r="B14" s="5" t="s">
        <v>53</v>
      </c>
      <c r="C14" s="13" t="n">
        <v>145</v>
      </c>
      <c r="D14" s="14" t="n">
        <f aca="false">WORKDAY.INTL(Assumptions!$B$6,C14,11)</f>
        <v>46833</v>
      </c>
    </row>
    <row r="15" customFormat="false" ht="15" hidden="false" customHeight="false" outlineLevel="0" collapsed="false">
      <c r="A15" s="5" t="s">
        <v>54</v>
      </c>
      <c r="B15" s="5" t="s">
        <v>55</v>
      </c>
      <c r="C15" s="13" t="n">
        <v>155</v>
      </c>
      <c r="D15" s="14" t="n">
        <f aca="false">WORKDAY.INTL(Assumptions!$B$6,C15,11)</f>
        <v>46844</v>
      </c>
    </row>
    <row r="16" customFormat="false" ht="15" hidden="false" customHeight="false" outlineLevel="0" collapsed="false">
      <c r="A16" s="5" t="s">
        <v>56</v>
      </c>
      <c r="B16" s="5" t="s">
        <v>57</v>
      </c>
      <c r="C16" s="13" t="n">
        <v>150</v>
      </c>
      <c r="D16" s="14" t="n">
        <f aca="false">WORKDAY.INTL(Assumptions!$B$6,C16,11)</f>
        <v>46839</v>
      </c>
    </row>
    <row r="17" customFormat="false" ht="15" hidden="false" customHeight="false" outlineLevel="0" collapsed="false">
      <c r="A17" s="5" t="s">
        <v>58</v>
      </c>
      <c r="B17" s="5" t="s">
        <v>59</v>
      </c>
      <c r="C17" s="13" t="n">
        <v>155</v>
      </c>
      <c r="D17" s="14" t="n">
        <f aca="false">WORKDAY.INTL(Assumptions!$B$6,C17,11)</f>
        <v>46844</v>
      </c>
    </row>
    <row r="18" customFormat="false" ht="15" hidden="false" customHeight="false" outlineLevel="0" collapsed="false">
      <c r="A18" s="5" t="s">
        <v>60</v>
      </c>
      <c r="B18" s="5" t="s">
        <v>61</v>
      </c>
      <c r="C18" s="13" t="n">
        <v>175</v>
      </c>
      <c r="D18" s="14" t="n">
        <f aca="false">WORKDAY.INTL(Assumptions!$B$6,C18,11)</f>
        <v>46868</v>
      </c>
    </row>
    <row r="19" customFormat="false" ht="15" hidden="false" customHeight="false" outlineLevel="0" collapsed="false">
      <c r="A19" s="5" t="s">
        <v>62</v>
      </c>
      <c r="B19" s="5" t="s">
        <v>63</v>
      </c>
      <c r="C19" s="13" t="n">
        <v>205</v>
      </c>
      <c r="D19" s="14" t="n">
        <f aca="false">WORKDAY.INTL(Assumptions!$B$6,C19,11)</f>
        <v>46903</v>
      </c>
    </row>
    <row r="21" customFormat="false" ht="15" hidden="false" customHeight="false" outlineLevel="0" collapsed="false">
      <c r="A21" s="4" t="s">
        <v>64</v>
      </c>
    </row>
    <row r="22" customFormat="false" ht="15" hidden="false" customHeight="false" outlineLevel="0" collapsed="false">
      <c r="A22" s="5" t="s">
        <v>65</v>
      </c>
    </row>
    <row r="23" customFormat="false" ht="15" hidden="false" customHeight="false" outlineLevel="0" collapsed="false">
      <c r="A23" s="5" t="s">
        <v>66</v>
      </c>
    </row>
    <row r="24" customFormat="false" ht="15" hidden="false" customHeight="false" outlineLevel="0" collapsed="false">
      <c r="A24" s="5"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2" outlineLevelCol="0"/>
  <cols>
    <col collapsed="false" customWidth="true" hidden="false" outlineLevel="0" max="1" min="1" style="0" width="16"/>
    <col collapsed="false" customWidth="true" hidden="false" outlineLevel="0" max="2" min="2" style="0" width="17"/>
    <col collapsed="false" customWidth="true" hidden="false" outlineLevel="0" max="3" min="3" style="0" width="7"/>
    <col collapsed="false" customWidth="true" hidden="false" outlineLevel="0" max="4" min="4" style="0" width="14"/>
    <col collapsed="false" customWidth="true" hidden="false" outlineLevel="0" max="5" min="5" style="0" width="16"/>
    <col collapsed="false" customWidth="true" hidden="false" outlineLevel="0" max="6" min="6" style="0" width="58"/>
    <col collapsed="false" customWidth="true" hidden="false" outlineLevel="0" max="7" min="7" style="0" width="16"/>
    <col collapsed="false" customWidth="true" hidden="false" outlineLevel="0" max="8" min="8" style="0" width="11"/>
    <col collapsed="false" customWidth="true" hidden="false" outlineLevel="0" max="9" min="9" style="0" width="26"/>
    <col collapsed="false" customWidth="true" hidden="false" outlineLevel="0" max="10" min="10" style="0" width="10"/>
    <col collapsed="false" customWidth="true" hidden="false" outlineLevel="0" max="11" min="11" style="0" width="8"/>
    <col collapsed="false" customWidth="true" hidden="false" outlineLevel="0" max="12" min="12" style="0" width="11"/>
    <col collapsed="false" customWidth="true" hidden="false" outlineLevel="0" max="13" min="13" style="0" width="42"/>
    <col collapsed="false" customWidth="true" hidden="false" outlineLevel="0" max="15" min="14" style="0" width="12"/>
    <col collapsed="false" customWidth="true" hidden="false" outlineLevel="0" max="16" min="16" style="0" width="8"/>
    <col collapsed="false" customWidth="true" hidden="false" outlineLevel="0" max="18" min="17" style="0" width="12"/>
    <col collapsed="false" customWidth="true" hidden="false" outlineLevel="0" max="19" min="19" style="0" width="10"/>
    <col collapsed="false" customWidth="true" hidden="false" outlineLevel="0" max="20" min="20" style="0" width="13"/>
    <col collapsed="false" customWidth="true" hidden="false" outlineLevel="0" max="21" min="21" style="0" width="28"/>
  </cols>
  <sheetData>
    <row r="1" customFormat="false" ht="17.35" hidden="false" customHeight="false" outlineLevel="0" collapsed="false">
      <c r="A1" s="1" t="s">
        <v>68</v>
      </c>
    </row>
    <row r="2" customFormat="false" ht="15" hidden="false" customHeight="false" outlineLevel="0" collapsed="false">
      <c r="A2" s="7" t="s">
        <v>69</v>
      </c>
    </row>
    <row r="5" customFormat="false" ht="42" hidden="false" customHeight="true" outlineLevel="0" collapsed="false">
      <c r="A5" s="15" t="s">
        <v>70</v>
      </c>
      <c r="B5" s="15" t="s">
        <v>71</v>
      </c>
      <c r="C5" s="15" t="s">
        <v>72</v>
      </c>
      <c r="D5" s="15" t="s">
        <v>73</v>
      </c>
      <c r="E5" s="15" t="s">
        <v>74</v>
      </c>
      <c r="F5" s="15" t="s">
        <v>75</v>
      </c>
      <c r="G5" s="15" t="s">
        <v>76</v>
      </c>
      <c r="H5" s="15" t="s">
        <v>77</v>
      </c>
      <c r="I5" s="15" t="s">
        <v>78</v>
      </c>
      <c r="J5" s="15" t="s">
        <v>79</v>
      </c>
      <c r="K5" s="15" t="s">
        <v>80</v>
      </c>
      <c r="L5" s="15" t="s">
        <v>81</v>
      </c>
      <c r="M5" s="15" t="s">
        <v>82</v>
      </c>
      <c r="N5" s="15" t="s">
        <v>83</v>
      </c>
      <c r="O5" s="15" t="s">
        <v>84</v>
      </c>
      <c r="P5" s="15" t="s">
        <v>85</v>
      </c>
      <c r="Q5" s="15" t="s">
        <v>86</v>
      </c>
      <c r="R5" s="15" t="s">
        <v>87</v>
      </c>
      <c r="S5" s="15" t="s">
        <v>88</v>
      </c>
      <c r="T5" s="15" t="s">
        <v>89</v>
      </c>
      <c r="U5" s="15" t="s">
        <v>90</v>
      </c>
    </row>
    <row r="6" customFormat="false" ht="15" hidden="false" customHeight="false" outlineLevel="0" collapsed="false">
      <c r="A6" s="16" t="s">
        <v>50</v>
      </c>
      <c r="B6" s="16" t="s">
        <v>91</v>
      </c>
      <c r="C6" s="16" t="s">
        <v>92</v>
      </c>
      <c r="D6" s="16" t="s">
        <v>91</v>
      </c>
      <c r="E6" s="16" t="s">
        <v>91</v>
      </c>
      <c r="F6" s="17" t="s">
        <v>51</v>
      </c>
      <c r="G6" s="16" t="s">
        <v>93</v>
      </c>
      <c r="H6" s="16" t="s">
        <v>92</v>
      </c>
      <c r="I6" s="16" t="s">
        <v>94</v>
      </c>
      <c r="J6" s="16"/>
      <c r="K6" s="16"/>
      <c r="L6" s="18" t="n">
        <v>0</v>
      </c>
      <c r="M6" s="16" t="s">
        <v>95</v>
      </c>
      <c r="N6" s="19" t="n">
        <f aca="false">Assumptions!$D$13</f>
        <v>46687</v>
      </c>
      <c r="O6" s="20" t="n">
        <f aca="false">N6</f>
        <v>46687</v>
      </c>
      <c r="P6" s="16" t="s">
        <v>96</v>
      </c>
      <c r="Q6" s="16"/>
      <c r="R6" s="16"/>
      <c r="S6" s="16"/>
      <c r="T6" s="16" t="s">
        <v>91</v>
      </c>
    </row>
    <row r="7" customFormat="false" ht="23.85" hidden="false" customHeight="false" outlineLevel="0" collapsed="false">
      <c r="A7" s="16" t="s">
        <v>52</v>
      </c>
      <c r="B7" s="16" t="s">
        <v>91</v>
      </c>
      <c r="C7" s="16" t="s">
        <v>92</v>
      </c>
      <c r="D7" s="16" t="s">
        <v>91</v>
      </c>
      <c r="E7" s="16" t="s">
        <v>91</v>
      </c>
      <c r="F7" s="17" t="s">
        <v>53</v>
      </c>
      <c r="G7" s="16" t="s">
        <v>93</v>
      </c>
      <c r="H7" s="16" t="s">
        <v>92</v>
      </c>
      <c r="I7" s="16" t="s">
        <v>94</v>
      </c>
      <c r="J7" s="16"/>
      <c r="K7" s="16"/>
      <c r="L7" s="18" t="n">
        <v>0</v>
      </c>
      <c r="M7" s="16" t="s">
        <v>95</v>
      </c>
      <c r="N7" s="19" t="n">
        <f aca="false">Assumptions!$D$14</f>
        <v>46833</v>
      </c>
      <c r="O7" s="20" t="n">
        <f aca="false">N7</f>
        <v>46833</v>
      </c>
      <c r="P7" s="16" t="s">
        <v>96</v>
      </c>
      <c r="Q7" s="16"/>
      <c r="R7" s="16"/>
      <c r="S7" s="16"/>
      <c r="T7" s="16" t="s">
        <v>91</v>
      </c>
    </row>
    <row r="8" customFormat="false" ht="15" hidden="false" customHeight="false" outlineLevel="0" collapsed="false">
      <c r="A8" s="16" t="s">
        <v>54</v>
      </c>
      <c r="B8" s="16" t="s">
        <v>91</v>
      </c>
      <c r="C8" s="16" t="s">
        <v>92</v>
      </c>
      <c r="D8" s="16" t="s">
        <v>91</v>
      </c>
      <c r="E8" s="16" t="s">
        <v>91</v>
      </c>
      <c r="F8" s="17" t="s">
        <v>55</v>
      </c>
      <c r="G8" s="16" t="s">
        <v>93</v>
      </c>
      <c r="H8" s="16" t="s">
        <v>92</v>
      </c>
      <c r="I8" s="16" t="s">
        <v>94</v>
      </c>
      <c r="J8" s="16"/>
      <c r="K8" s="16"/>
      <c r="L8" s="18" t="n">
        <v>0</v>
      </c>
      <c r="M8" s="16" t="s">
        <v>95</v>
      </c>
      <c r="N8" s="19" t="n">
        <f aca="false">Assumptions!$D$15</f>
        <v>46844</v>
      </c>
      <c r="O8" s="20" t="n">
        <f aca="false">N8</f>
        <v>46844</v>
      </c>
      <c r="P8" s="16" t="s">
        <v>96</v>
      </c>
      <c r="Q8" s="16"/>
      <c r="R8" s="16"/>
      <c r="S8" s="16"/>
      <c r="T8" s="16" t="s">
        <v>91</v>
      </c>
    </row>
    <row r="9" customFormat="false" ht="23.85" hidden="false" customHeight="false" outlineLevel="0" collapsed="false">
      <c r="A9" s="16" t="s">
        <v>56</v>
      </c>
      <c r="B9" s="16" t="s">
        <v>91</v>
      </c>
      <c r="C9" s="16" t="s">
        <v>92</v>
      </c>
      <c r="D9" s="16" t="s">
        <v>91</v>
      </c>
      <c r="E9" s="16" t="s">
        <v>91</v>
      </c>
      <c r="F9" s="17" t="s">
        <v>57</v>
      </c>
      <c r="G9" s="16" t="s">
        <v>93</v>
      </c>
      <c r="H9" s="16" t="s">
        <v>92</v>
      </c>
      <c r="I9" s="16" t="s">
        <v>94</v>
      </c>
      <c r="J9" s="16"/>
      <c r="K9" s="16"/>
      <c r="L9" s="18" t="n">
        <v>0</v>
      </c>
      <c r="M9" s="16" t="s">
        <v>95</v>
      </c>
      <c r="N9" s="19" t="n">
        <f aca="false">Assumptions!$D$16</f>
        <v>46839</v>
      </c>
      <c r="O9" s="20" t="n">
        <f aca="false">N9</f>
        <v>46839</v>
      </c>
      <c r="P9" s="16" t="s">
        <v>96</v>
      </c>
      <c r="Q9" s="16"/>
      <c r="R9" s="16"/>
      <c r="S9" s="16"/>
      <c r="T9" s="16" t="s">
        <v>91</v>
      </c>
    </row>
    <row r="10" customFormat="false" ht="15" hidden="false" customHeight="false" outlineLevel="0" collapsed="false">
      <c r="A10" s="16" t="s">
        <v>58</v>
      </c>
      <c r="B10" s="16" t="s">
        <v>91</v>
      </c>
      <c r="C10" s="16" t="s">
        <v>92</v>
      </c>
      <c r="D10" s="16" t="s">
        <v>91</v>
      </c>
      <c r="E10" s="16" t="s">
        <v>91</v>
      </c>
      <c r="F10" s="17" t="s">
        <v>59</v>
      </c>
      <c r="G10" s="16" t="s">
        <v>93</v>
      </c>
      <c r="H10" s="16" t="s">
        <v>92</v>
      </c>
      <c r="I10" s="16" t="s">
        <v>94</v>
      </c>
      <c r="J10" s="16"/>
      <c r="K10" s="16"/>
      <c r="L10" s="18" t="n">
        <v>0</v>
      </c>
      <c r="M10" s="16" t="s">
        <v>95</v>
      </c>
      <c r="N10" s="19" t="n">
        <f aca="false">Assumptions!$D$17</f>
        <v>46844</v>
      </c>
      <c r="O10" s="20" t="n">
        <f aca="false">N10</f>
        <v>46844</v>
      </c>
      <c r="P10" s="16" t="s">
        <v>96</v>
      </c>
      <c r="Q10" s="16"/>
      <c r="R10" s="16"/>
      <c r="S10" s="16"/>
      <c r="T10" s="16" t="s">
        <v>91</v>
      </c>
    </row>
    <row r="11" customFormat="false" ht="15" hidden="false" customHeight="false" outlineLevel="0" collapsed="false">
      <c r="A11" s="16" t="s">
        <v>60</v>
      </c>
      <c r="B11" s="16" t="s">
        <v>91</v>
      </c>
      <c r="C11" s="16" t="s">
        <v>92</v>
      </c>
      <c r="D11" s="16" t="s">
        <v>91</v>
      </c>
      <c r="E11" s="16" t="s">
        <v>91</v>
      </c>
      <c r="F11" s="17" t="s">
        <v>61</v>
      </c>
      <c r="G11" s="16" t="s">
        <v>93</v>
      </c>
      <c r="H11" s="16" t="s">
        <v>92</v>
      </c>
      <c r="I11" s="16" t="s">
        <v>94</v>
      </c>
      <c r="J11" s="16"/>
      <c r="K11" s="16"/>
      <c r="L11" s="18" t="n">
        <v>0</v>
      </c>
      <c r="M11" s="16" t="s">
        <v>95</v>
      </c>
      <c r="N11" s="19" t="n">
        <f aca="false">Assumptions!$D$18</f>
        <v>46868</v>
      </c>
      <c r="O11" s="20" t="n">
        <f aca="false">N11</f>
        <v>46868</v>
      </c>
      <c r="P11" s="16" t="s">
        <v>96</v>
      </c>
      <c r="Q11" s="16"/>
      <c r="R11" s="16"/>
      <c r="S11" s="16"/>
      <c r="T11" s="16" t="s">
        <v>91</v>
      </c>
    </row>
    <row r="12" customFormat="false" ht="15" hidden="false" customHeight="false" outlineLevel="0" collapsed="false">
      <c r="A12" s="16" t="s">
        <v>62</v>
      </c>
      <c r="B12" s="16" t="s">
        <v>91</v>
      </c>
      <c r="C12" s="16" t="s">
        <v>92</v>
      </c>
      <c r="D12" s="16" t="s">
        <v>91</v>
      </c>
      <c r="E12" s="16" t="s">
        <v>91</v>
      </c>
      <c r="F12" s="17" t="s">
        <v>63</v>
      </c>
      <c r="G12" s="16" t="s">
        <v>93</v>
      </c>
      <c r="H12" s="16" t="s">
        <v>92</v>
      </c>
      <c r="I12" s="16" t="s">
        <v>94</v>
      </c>
      <c r="J12" s="16"/>
      <c r="K12" s="16"/>
      <c r="L12" s="18" t="n">
        <v>0</v>
      </c>
      <c r="M12" s="16" t="s">
        <v>95</v>
      </c>
      <c r="N12" s="19" t="n">
        <f aca="false">Assumptions!$D$19</f>
        <v>46903</v>
      </c>
      <c r="O12" s="20" t="n">
        <f aca="false">N12</f>
        <v>46903</v>
      </c>
      <c r="P12" s="16" t="s">
        <v>96</v>
      </c>
      <c r="Q12" s="16"/>
      <c r="R12" s="16"/>
      <c r="S12" s="16"/>
      <c r="T12" s="16" t="s">
        <v>91</v>
      </c>
    </row>
    <row r="13" customFormat="false" ht="15" hidden="false" customHeight="false" outlineLevel="0" collapsed="false">
      <c r="A13" s="21" t="s">
        <v>97</v>
      </c>
      <c r="B13" s="21" t="s">
        <v>98</v>
      </c>
      <c r="C13" s="22" t="s">
        <v>99</v>
      </c>
      <c r="D13" s="21" t="s">
        <v>100</v>
      </c>
      <c r="E13" s="21" t="s">
        <v>100</v>
      </c>
      <c r="F13" s="21" t="s">
        <v>101</v>
      </c>
      <c r="G13" s="21" t="s">
        <v>102</v>
      </c>
      <c r="H13" s="22" t="s">
        <v>103</v>
      </c>
      <c r="I13" s="21" t="s">
        <v>104</v>
      </c>
      <c r="J13" s="23"/>
      <c r="K13" s="23"/>
      <c r="L13" s="24" t="n">
        <f aca="false">NETWORKDAYS.INTL(N13,O13,11)</f>
        <v>14</v>
      </c>
      <c r="M13" s="23"/>
      <c r="N13" s="25" t="n">
        <f aca="false">MIN(N14:N25)</f>
        <v>46664</v>
      </c>
      <c r="O13" s="25" t="n">
        <f aca="false">MAX(O14:O25)</f>
        <v>46679</v>
      </c>
      <c r="P13" s="22" t="s">
        <v>96</v>
      </c>
      <c r="Q13" s="25" t="str">
        <f aca="false">IF(COUNT(Q14:Q25)=0,"",MIN(Q14:Q25))</f>
        <v/>
      </c>
      <c r="R13" s="25" t="str">
        <f aca="false">IF(COUNTIFS(P14:P25,"Y")=COUNTIFS(P14:P25,"Y",R14:R25,"&gt;0"),MAX(R14:R25),"")</f>
        <v/>
      </c>
      <c r="S13" s="26" t="n">
        <f aca="false">IFERROR(SUMPRODUCT((P14:P25="Y")*L14:L25*S14:S25)/SUMIFS(L14:L25,P14:P25,"Y"),0)</f>
        <v>0</v>
      </c>
      <c r="T13" s="21" t="str">
        <f aca="false">IF(ISNUMBER(R13),"Completed",IF(ISNUMBER(Q13),"In Progress","Not Started"))</f>
        <v>Not Started</v>
      </c>
      <c r="U13" s="23"/>
    </row>
    <row r="14" customFormat="false" ht="15" hidden="false" customHeight="false" outlineLevel="1" collapsed="false">
      <c r="A14" s="27" t="s">
        <v>105</v>
      </c>
      <c r="B14" s="27" t="s">
        <v>106</v>
      </c>
      <c r="C14" s="28" t="s">
        <v>107</v>
      </c>
      <c r="D14" s="27" t="s">
        <v>100</v>
      </c>
      <c r="E14" s="27" t="s">
        <v>97</v>
      </c>
      <c r="F14" s="27" t="s">
        <v>108</v>
      </c>
      <c r="G14" s="27" t="s">
        <v>102</v>
      </c>
      <c r="H14" s="28" t="s">
        <v>103</v>
      </c>
      <c r="I14" s="27" t="s">
        <v>104</v>
      </c>
      <c r="J14" s="29"/>
      <c r="K14" s="29"/>
      <c r="L14" s="30" t="n">
        <f aca="false">NETWORKDAYS.INTL(N14,O14,11)</f>
        <v>14</v>
      </c>
      <c r="M14" s="29"/>
      <c r="N14" s="31" t="n">
        <f aca="false">MIN(N15:N20)</f>
        <v>46664</v>
      </c>
      <c r="O14" s="31" t="n">
        <f aca="false">MAX(O15:O20)</f>
        <v>46679</v>
      </c>
      <c r="P14" s="28" t="s">
        <v>96</v>
      </c>
      <c r="Q14" s="31" t="str">
        <f aca="false">IF(COUNT(Q15:Q20)=0,"",MIN(Q15:Q20))</f>
        <v/>
      </c>
      <c r="R14" s="31" t="str">
        <f aca="false">IF(COUNTIFS(P15:P20,"Y")=COUNTIFS(P15:P20,"Y",R15:R20,"&gt;0"),MAX(R15:R20),"")</f>
        <v/>
      </c>
      <c r="S14" s="32" t="n">
        <f aca="false">IFERROR(SUMPRODUCT((P15:P20="Y")*L15:L20*S15:S20)/SUMIFS(L15:L20,P15:P20,"Y"),0)</f>
        <v>0</v>
      </c>
      <c r="T14" s="27" t="str">
        <f aca="false">IF(ISNUMBER(R14),"Completed",IF(ISNUMBER(Q14),"In Progress","Not Started"))</f>
        <v>Not Started</v>
      </c>
      <c r="U14" s="29"/>
    </row>
    <row r="15" customFormat="false" ht="15" hidden="false" customHeight="false" outlineLevel="2" collapsed="false">
      <c r="A15" s="33" t="s">
        <v>109</v>
      </c>
      <c r="B15" s="33" t="s">
        <v>110</v>
      </c>
      <c r="C15" s="34" t="s">
        <v>111</v>
      </c>
      <c r="D15" s="33" t="s">
        <v>100</v>
      </c>
      <c r="E15" s="33" t="s">
        <v>105</v>
      </c>
      <c r="F15" s="33" t="s">
        <v>112</v>
      </c>
      <c r="G15" s="33" t="s">
        <v>113</v>
      </c>
      <c r="H15" s="34" t="s">
        <v>103</v>
      </c>
      <c r="I15" s="33" t="s">
        <v>104</v>
      </c>
      <c r="J15" s="35" t="n">
        <v>1</v>
      </c>
      <c r="K15" s="33" t="s">
        <v>114</v>
      </c>
      <c r="L15" s="36" t="n">
        <v>2</v>
      </c>
      <c r="M15" s="37" t="s">
        <v>115</v>
      </c>
      <c r="N15" s="38" t="n">
        <f aca="false">Assumptions!$B$6</f>
        <v>46664</v>
      </c>
      <c r="O15" s="38" t="n">
        <f aca="false">IF(L15=0,N15,WORKDAY.INTL(N15,L15-1,11))</f>
        <v>46665</v>
      </c>
      <c r="P15" s="34" t="s">
        <v>116</v>
      </c>
      <c r="Q15" s="39"/>
      <c r="R15" s="39"/>
      <c r="S15" s="40"/>
      <c r="T15" s="33" t="str">
        <f aca="false">IF(ISNUMBER(R15),"Completed",IF(ISNUMBER(Q15),"In Progress","Not Started"))</f>
        <v>Not Started</v>
      </c>
      <c r="U15" s="41"/>
    </row>
    <row r="16" customFormat="false" ht="15" hidden="false" customHeight="false" outlineLevel="2" collapsed="false">
      <c r="A16" s="33" t="s">
        <v>117</v>
      </c>
      <c r="B16" s="33" t="s">
        <v>118</v>
      </c>
      <c r="C16" s="34" t="s">
        <v>111</v>
      </c>
      <c r="D16" s="33" t="s">
        <v>100</v>
      </c>
      <c r="E16" s="33" t="s">
        <v>105</v>
      </c>
      <c r="F16" s="33" t="s">
        <v>119</v>
      </c>
      <c r="G16" s="33" t="s">
        <v>113</v>
      </c>
      <c r="H16" s="34" t="s">
        <v>103</v>
      </c>
      <c r="I16" s="33" t="s">
        <v>104</v>
      </c>
      <c r="J16" s="35" t="n">
        <v>1</v>
      </c>
      <c r="K16" s="33" t="s">
        <v>114</v>
      </c>
      <c r="L16" s="36" t="n">
        <v>6</v>
      </c>
      <c r="M16" s="37" t="s">
        <v>120</v>
      </c>
      <c r="N16" s="38" t="n">
        <f aca="false">IF($L16=0,O15,WORKDAY.INTL(O15,1,11))</f>
        <v>46666</v>
      </c>
      <c r="O16" s="38" t="n">
        <f aca="false">IF(L16=0,N16,WORKDAY.INTL(N16,L16-1,11))</f>
        <v>46672</v>
      </c>
      <c r="P16" s="34" t="s">
        <v>116</v>
      </c>
      <c r="Q16" s="39"/>
      <c r="R16" s="39"/>
      <c r="S16" s="40"/>
      <c r="T16" s="33" t="str">
        <f aca="false">IF(ISNUMBER(R16),"Completed",IF(ISNUMBER(Q16),"In Progress","Not Started"))</f>
        <v>Not Started</v>
      </c>
      <c r="U16" s="41"/>
    </row>
    <row r="17" customFormat="false" ht="15" hidden="false" customHeight="false" outlineLevel="2" collapsed="false">
      <c r="A17" s="33" t="s">
        <v>121</v>
      </c>
      <c r="B17" s="33" t="s">
        <v>122</v>
      </c>
      <c r="C17" s="34" t="s">
        <v>111</v>
      </c>
      <c r="D17" s="33" t="s">
        <v>100</v>
      </c>
      <c r="E17" s="33" t="s">
        <v>105</v>
      </c>
      <c r="F17" s="33" t="s">
        <v>123</v>
      </c>
      <c r="G17" s="33" t="s">
        <v>113</v>
      </c>
      <c r="H17" s="34" t="s">
        <v>103</v>
      </c>
      <c r="I17" s="33" t="s">
        <v>104</v>
      </c>
      <c r="J17" s="35" t="n">
        <v>1</v>
      </c>
      <c r="K17" s="33" t="s">
        <v>114</v>
      </c>
      <c r="L17" s="36" t="n">
        <v>8</v>
      </c>
      <c r="M17" s="37" t="s">
        <v>120</v>
      </c>
      <c r="N17" s="38" t="n">
        <f aca="false">IF($L17=0,O15,WORKDAY.INTL(O15,1,11))</f>
        <v>46666</v>
      </c>
      <c r="O17" s="38" t="n">
        <f aca="false">IF(L17=0,N17,WORKDAY.INTL(N17,L17-1,11))</f>
        <v>46674</v>
      </c>
      <c r="P17" s="34" t="s">
        <v>116</v>
      </c>
      <c r="Q17" s="39"/>
      <c r="R17" s="39"/>
      <c r="S17" s="40"/>
      <c r="T17" s="33" t="str">
        <f aca="false">IF(ISNUMBER(R17),"Completed",IF(ISNUMBER(Q17),"In Progress","Not Started"))</f>
        <v>Not Started</v>
      </c>
      <c r="U17" s="41"/>
    </row>
    <row r="18" customFormat="false" ht="15" hidden="false" customHeight="false" outlineLevel="2" collapsed="false">
      <c r="A18" s="33" t="s">
        <v>124</v>
      </c>
      <c r="B18" s="33" t="s">
        <v>125</v>
      </c>
      <c r="C18" s="34" t="s">
        <v>111</v>
      </c>
      <c r="D18" s="33" t="s">
        <v>100</v>
      </c>
      <c r="E18" s="33" t="s">
        <v>105</v>
      </c>
      <c r="F18" s="33" t="s">
        <v>126</v>
      </c>
      <c r="G18" s="33" t="s">
        <v>113</v>
      </c>
      <c r="H18" s="34" t="s">
        <v>103</v>
      </c>
      <c r="I18" s="33" t="s">
        <v>104</v>
      </c>
      <c r="J18" s="35" t="n">
        <v>1</v>
      </c>
      <c r="K18" s="33" t="s">
        <v>114</v>
      </c>
      <c r="L18" s="36" t="n">
        <v>7</v>
      </c>
      <c r="M18" s="37" t="s">
        <v>120</v>
      </c>
      <c r="N18" s="38" t="n">
        <f aca="false">IF($L18=0,O15,WORKDAY.INTL(O15,1,11))</f>
        <v>46666</v>
      </c>
      <c r="O18" s="38" t="n">
        <f aca="false">IF(L18=0,N18,WORKDAY.INTL(N18,L18-1,11))</f>
        <v>46673</v>
      </c>
      <c r="P18" s="34" t="s">
        <v>116</v>
      </c>
      <c r="Q18" s="39"/>
      <c r="R18" s="39"/>
      <c r="S18" s="40"/>
      <c r="T18" s="33" t="str">
        <f aca="false">IF(ISNUMBER(R18),"Completed",IF(ISNUMBER(Q18),"In Progress","Not Started"))</f>
        <v>Not Started</v>
      </c>
      <c r="U18" s="41"/>
    </row>
    <row r="19" customFormat="false" ht="15" hidden="false" customHeight="false" outlineLevel="2" collapsed="false">
      <c r="A19" s="33" t="s">
        <v>127</v>
      </c>
      <c r="B19" s="33" t="s">
        <v>128</v>
      </c>
      <c r="C19" s="34" t="s">
        <v>111</v>
      </c>
      <c r="D19" s="33" t="s">
        <v>100</v>
      </c>
      <c r="E19" s="33" t="s">
        <v>105</v>
      </c>
      <c r="F19" s="33" t="s">
        <v>129</v>
      </c>
      <c r="G19" s="33" t="s">
        <v>113</v>
      </c>
      <c r="H19" s="34" t="s">
        <v>103</v>
      </c>
      <c r="I19" s="33" t="s">
        <v>104</v>
      </c>
      <c r="J19" s="35" t="n">
        <v>300</v>
      </c>
      <c r="K19" s="33" t="s">
        <v>130</v>
      </c>
      <c r="L19" s="36" t="n">
        <v>4</v>
      </c>
      <c r="M19" s="37" t="s">
        <v>120</v>
      </c>
      <c r="N19" s="38" t="n">
        <f aca="false">IF($L19=0,O15,WORKDAY.INTL(O15,1,11))</f>
        <v>46666</v>
      </c>
      <c r="O19" s="38" t="n">
        <f aca="false">IF(L19=0,N19,WORKDAY.INTL(N19,L19-1,11))</f>
        <v>46669</v>
      </c>
      <c r="P19" s="34" t="s">
        <v>116</v>
      </c>
      <c r="Q19" s="39"/>
      <c r="R19" s="39"/>
      <c r="S19" s="40"/>
      <c r="T19" s="33" t="str">
        <f aca="false">IF(ISNUMBER(R19),"Completed",IF(ISNUMBER(Q19),"In Progress","Not Started"))</f>
        <v>Not Started</v>
      </c>
      <c r="U19" s="41"/>
    </row>
    <row r="20" customFormat="false" ht="15" hidden="false" customHeight="false" outlineLevel="2" collapsed="false">
      <c r="A20" s="33" t="s">
        <v>131</v>
      </c>
      <c r="B20" s="33" t="s">
        <v>132</v>
      </c>
      <c r="C20" s="34" t="s">
        <v>111</v>
      </c>
      <c r="D20" s="33" t="s">
        <v>100</v>
      </c>
      <c r="E20" s="33" t="s">
        <v>105</v>
      </c>
      <c r="F20" s="33" t="s">
        <v>133</v>
      </c>
      <c r="G20" s="33" t="s">
        <v>113</v>
      </c>
      <c r="H20" s="34" t="s">
        <v>103</v>
      </c>
      <c r="I20" s="33" t="s">
        <v>104</v>
      </c>
      <c r="J20" s="35" t="n">
        <v>1</v>
      </c>
      <c r="K20" s="33" t="s">
        <v>114</v>
      </c>
      <c r="L20" s="36" t="n">
        <v>6</v>
      </c>
      <c r="M20" s="37" t="s">
        <v>134</v>
      </c>
      <c r="N20" s="38" t="n">
        <f aca="false">IF($L20=0,O16,WORKDAY.INTL(O16,1,11))</f>
        <v>46673</v>
      </c>
      <c r="O20" s="38" t="n">
        <f aca="false">IF(L20=0,N20,WORKDAY.INTL(N20,L20-1,11))</f>
        <v>46679</v>
      </c>
      <c r="P20" s="34" t="s">
        <v>116</v>
      </c>
      <c r="Q20" s="39"/>
      <c r="R20" s="39"/>
      <c r="S20" s="40"/>
      <c r="T20" s="33" t="str">
        <f aca="false">IF(ISNUMBER(R20),"Completed",IF(ISNUMBER(Q20),"In Progress","Not Started"))</f>
        <v>Not Started</v>
      </c>
      <c r="U20" s="41"/>
    </row>
    <row r="21" customFormat="false" ht="15" hidden="false" customHeight="false" outlineLevel="1" collapsed="false">
      <c r="A21" s="27" t="s">
        <v>135</v>
      </c>
      <c r="B21" s="27" t="s">
        <v>136</v>
      </c>
      <c r="C21" s="28" t="s">
        <v>107</v>
      </c>
      <c r="D21" s="27" t="s">
        <v>100</v>
      </c>
      <c r="E21" s="27" t="s">
        <v>97</v>
      </c>
      <c r="F21" s="27" t="s">
        <v>137</v>
      </c>
      <c r="G21" s="27" t="s">
        <v>102</v>
      </c>
      <c r="H21" s="28" t="s">
        <v>103</v>
      </c>
      <c r="I21" s="27" t="s">
        <v>104</v>
      </c>
      <c r="J21" s="29"/>
      <c r="K21" s="29"/>
      <c r="L21" s="30" t="n">
        <f aca="false">NETWORKDAYS.INTL(N21,O21,11)</f>
        <v>11</v>
      </c>
      <c r="M21" s="29"/>
      <c r="N21" s="31" t="n">
        <f aca="false">MIN(N22:N25)</f>
        <v>46666</v>
      </c>
      <c r="O21" s="31" t="n">
        <f aca="false">MAX(O22:O25)</f>
        <v>46678</v>
      </c>
      <c r="P21" s="28" t="s">
        <v>96</v>
      </c>
      <c r="Q21" s="31" t="str">
        <f aca="false">IF(COUNT(Q22:Q25)=0,"",MIN(Q22:Q25))</f>
        <v/>
      </c>
      <c r="R21" s="31" t="str">
        <f aca="false">IF(COUNTIFS(P22:P25,"Y")=COUNTIFS(P22:P25,"Y",R22:R25,"&gt;0"),MAX(R22:R25),"")</f>
        <v/>
      </c>
      <c r="S21" s="32" t="n">
        <f aca="false">IFERROR(SUMPRODUCT((P22:P25="Y")*L22:L25*S22:S25)/SUMIFS(L22:L25,P22:P25,"Y"),0)</f>
        <v>0</v>
      </c>
      <c r="T21" s="27" t="str">
        <f aca="false">IF(ISNUMBER(R21),"Completed",IF(ISNUMBER(Q21),"In Progress","Not Started"))</f>
        <v>Not Started</v>
      </c>
      <c r="U21" s="29"/>
    </row>
    <row r="22" customFormat="false" ht="15" hidden="false" customHeight="false" outlineLevel="2" collapsed="false">
      <c r="A22" s="33" t="s">
        <v>138</v>
      </c>
      <c r="B22" s="33" t="s">
        <v>139</v>
      </c>
      <c r="C22" s="34" t="s">
        <v>111</v>
      </c>
      <c r="D22" s="33" t="s">
        <v>100</v>
      </c>
      <c r="E22" s="33" t="s">
        <v>135</v>
      </c>
      <c r="F22" s="33" t="s">
        <v>140</v>
      </c>
      <c r="G22" s="33" t="s">
        <v>113</v>
      </c>
      <c r="H22" s="34" t="s">
        <v>141</v>
      </c>
      <c r="I22" s="33" t="s">
        <v>142</v>
      </c>
      <c r="J22" s="35" t="n">
        <v>1</v>
      </c>
      <c r="K22" s="33" t="s">
        <v>114</v>
      </c>
      <c r="L22" s="36" t="n">
        <v>5</v>
      </c>
      <c r="M22" s="37" t="s">
        <v>134</v>
      </c>
      <c r="N22" s="38" t="n">
        <f aca="false">IF($L22=0,O16,WORKDAY.INTL(O16,1,11))</f>
        <v>46673</v>
      </c>
      <c r="O22" s="38" t="n">
        <f aca="false">IF(L22=0,N22,WORKDAY.INTL(N22,L22-1,11))</f>
        <v>46678</v>
      </c>
      <c r="P22" s="34" t="s">
        <v>116</v>
      </c>
      <c r="Q22" s="39"/>
      <c r="R22" s="39"/>
      <c r="S22" s="40"/>
      <c r="T22" s="33" t="str">
        <f aca="false">IF(ISNUMBER(R22),"Completed",IF(ISNUMBER(Q22),"In Progress","Not Started"))</f>
        <v>Not Started</v>
      </c>
      <c r="U22" s="41"/>
    </row>
    <row r="23" customFormat="false" ht="15" hidden="false" customHeight="false" outlineLevel="2" collapsed="false">
      <c r="A23" s="33" t="s">
        <v>143</v>
      </c>
      <c r="B23" s="33" t="s">
        <v>144</v>
      </c>
      <c r="C23" s="34" t="s">
        <v>111</v>
      </c>
      <c r="D23" s="33" t="s">
        <v>100</v>
      </c>
      <c r="E23" s="33" t="s">
        <v>135</v>
      </c>
      <c r="F23" s="33" t="s">
        <v>145</v>
      </c>
      <c r="G23" s="33" t="s">
        <v>113</v>
      </c>
      <c r="H23" s="34" t="s">
        <v>146</v>
      </c>
      <c r="I23" s="33" t="s">
        <v>147</v>
      </c>
      <c r="J23" s="35" t="n">
        <v>1</v>
      </c>
      <c r="K23" s="33" t="s">
        <v>114</v>
      </c>
      <c r="L23" s="36" t="n">
        <v>8</v>
      </c>
      <c r="M23" s="37" t="s">
        <v>120</v>
      </c>
      <c r="N23" s="38" t="n">
        <f aca="false">IF($L23=0,O15,WORKDAY.INTL(O15,1,11))</f>
        <v>46666</v>
      </c>
      <c r="O23" s="38" t="n">
        <f aca="false">IF(L23=0,N23,WORKDAY.INTL(N23,L23-1,11))</f>
        <v>46674</v>
      </c>
      <c r="P23" s="34" t="s">
        <v>116</v>
      </c>
      <c r="Q23" s="39"/>
      <c r="R23" s="39"/>
      <c r="S23" s="40"/>
      <c r="T23" s="33" t="str">
        <f aca="false">IF(ISNUMBER(R23),"Completed",IF(ISNUMBER(Q23),"In Progress","Not Started"))</f>
        <v>Not Started</v>
      </c>
      <c r="U23" s="41"/>
    </row>
    <row r="24" customFormat="false" ht="15" hidden="false" customHeight="false" outlineLevel="2" collapsed="false">
      <c r="A24" s="33" t="s">
        <v>148</v>
      </c>
      <c r="B24" s="33" t="s">
        <v>149</v>
      </c>
      <c r="C24" s="34" t="s">
        <v>111</v>
      </c>
      <c r="D24" s="33" t="s">
        <v>100</v>
      </c>
      <c r="E24" s="33" t="s">
        <v>135</v>
      </c>
      <c r="F24" s="33" t="s">
        <v>150</v>
      </c>
      <c r="G24" s="33" t="s">
        <v>113</v>
      </c>
      <c r="H24" s="34" t="s">
        <v>103</v>
      </c>
      <c r="I24" s="33" t="s">
        <v>104</v>
      </c>
      <c r="J24" s="35" t="n">
        <v>12</v>
      </c>
      <c r="K24" s="33" t="s">
        <v>151</v>
      </c>
      <c r="L24" s="36" t="n">
        <v>4</v>
      </c>
      <c r="M24" s="37" t="s">
        <v>120</v>
      </c>
      <c r="N24" s="38" t="n">
        <f aca="false">IF($L24=0,O15,WORKDAY.INTL(O15,1,11))</f>
        <v>46666</v>
      </c>
      <c r="O24" s="38" t="n">
        <f aca="false">IF(L24=0,N24,WORKDAY.INTL(N24,L24-1,11))</f>
        <v>46669</v>
      </c>
      <c r="P24" s="34" t="s">
        <v>116</v>
      </c>
      <c r="Q24" s="39"/>
      <c r="R24" s="39"/>
      <c r="S24" s="40"/>
      <c r="T24" s="33" t="str">
        <f aca="false">IF(ISNUMBER(R24),"Completed",IF(ISNUMBER(Q24),"In Progress","Not Started"))</f>
        <v>Not Started</v>
      </c>
      <c r="U24" s="41"/>
    </row>
    <row r="25" customFormat="false" ht="15" hidden="false" customHeight="false" outlineLevel="2" collapsed="false">
      <c r="A25" s="33" t="s">
        <v>152</v>
      </c>
      <c r="B25" s="33" t="s">
        <v>153</v>
      </c>
      <c r="C25" s="34" t="s">
        <v>111</v>
      </c>
      <c r="D25" s="33" t="s">
        <v>100</v>
      </c>
      <c r="E25" s="33" t="s">
        <v>135</v>
      </c>
      <c r="F25" s="33" t="s">
        <v>154</v>
      </c>
      <c r="G25" s="33" t="s">
        <v>113</v>
      </c>
      <c r="H25" s="34" t="s">
        <v>146</v>
      </c>
      <c r="I25" s="33" t="s">
        <v>147</v>
      </c>
      <c r="J25" s="35" t="n">
        <v>1</v>
      </c>
      <c r="K25" s="33" t="s">
        <v>114</v>
      </c>
      <c r="L25" s="36" t="n">
        <v>5</v>
      </c>
      <c r="M25" s="37" t="s">
        <v>134</v>
      </c>
      <c r="N25" s="38" t="n">
        <f aca="false">IF($L25=0,O16,WORKDAY.INTL(O16,1,11))</f>
        <v>46673</v>
      </c>
      <c r="O25" s="38" t="n">
        <f aca="false">IF(L25=0,N25,WORKDAY.INTL(N25,L25-1,11))</f>
        <v>46678</v>
      </c>
      <c r="P25" s="34" t="s">
        <v>116</v>
      </c>
      <c r="Q25" s="39"/>
      <c r="R25" s="39"/>
      <c r="S25" s="40"/>
      <c r="T25" s="33" t="str">
        <f aca="false">IF(ISNUMBER(R25),"Completed",IF(ISNUMBER(Q25),"In Progress","Not Started"))</f>
        <v>Not Started</v>
      </c>
      <c r="U25" s="41"/>
    </row>
    <row r="26" customFormat="false" ht="15" hidden="false" customHeight="false" outlineLevel="0" collapsed="false">
      <c r="A26" s="21" t="s">
        <v>155</v>
      </c>
      <c r="B26" s="21" t="s">
        <v>156</v>
      </c>
      <c r="C26" s="22" t="s">
        <v>99</v>
      </c>
      <c r="D26" s="21" t="s">
        <v>157</v>
      </c>
      <c r="E26" s="21" t="s">
        <v>157</v>
      </c>
      <c r="F26" s="21" t="s">
        <v>158</v>
      </c>
      <c r="G26" s="21" t="s">
        <v>102</v>
      </c>
      <c r="H26" s="22" t="s">
        <v>159</v>
      </c>
      <c r="I26" s="21" t="s">
        <v>160</v>
      </c>
      <c r="J26" s="23"/>
      <c r="K26" s="23"/>
      <c r="L26" s="24" t="n">
        <f aca="false">NETWORKDAYS.INTL(N26,O26,11)</f>
        <v>56</v>
      </c>
      <c r="M26" s="23"/>
      <c r="N26" s="25" t="n">
        <f aca="false">MIN(N27:N36)</f>
        <v>46680</v>
      </c>
      <c r="O26" s="25" t="n">
        <f aca="false">MAX(O27:O36)</f>
        <v>46744</v>
      </c>
      <c r="P26" s="22" t="s">
        <v>96</v>
      </c>
      <c r="Q26" s="25" t="str">
        <f aca="false">IF(COUNT(Q27:Q36)=0,"",MIN(Q27:Q36))</f>
        <v/>
      </c>
      <c r="R26" s="25" t="str">
        <f aca="false">IF(COUNTIFS(P27:P36,"Y")=COUNTIFS(P27:P36,"Y",R27:R36,"&gt;0"),MAX(R27:R36),"")</f>
        <v/>
      </c>
      <c r="S26" s="26" t="n">
        <f aca="false">IFERROR(SUMPRODUCT((P27:P36="Y")*L27:L36*S27:S36)/SUMIFS(L27:L36,P27:P36,"Y"),0)</f>
        <v>0</v>
      </c>
      <c r="T26" s="21" t="str">
        <f aca="false">IF(ISNUMBER(R26),"Completed",IF(ISNUMBER(Q26),"In Progress","Not Started"))</f>
        <v>Not Started</v>
      </c>
      <c r="U26" s="23"/>
    </row>
    <row r="27" customFormat="false" ht="15" hidden="false" customHeight="false" outlineLevel="1" collapsed="false">
      <c r="A27" s="27" t="s">
        <v>161</v>
      </c>
      <c r="B27" s="27" t="s">
        <v>162</v>
      </c>
      <c r="C27" s="28" t="s">
        <v>107</v>
      </c>
      <c r="D27" s="27" t="s">
        <v>157</v>
      </c>
      <c r="E27" s="27" t="s">
        <v>155</v>
      </c>
      <c r="F27" s="27" t="s">
        <v>163</v>
      </c>
      <c r="G27" s="27" t="s">
        <v>102</v>
      </c>
      <c r="H27" s="28" t="s">
        <v>159</v>
      </c>
      <c r="I27" s="27" t="s">
        <v>160</v>
      </c>
      <c r="J27" s="29"/>
      <c r="K27" s="29"/>
      <c r="L27" s="30" t="n">
        <f aca="false">NETWORKDAYS.INTL(N27,O27,11)</f>
        <v>25</v>
      </c>
      <c r="M27" s="29"/>
      <c r="N27" s="31" t="n">
        <f aca="false">MIN(N28:N30)</f>
        <v>46680</v>
      </c>
      <c r="O27" s="31" t="n">
        <f aca="false">MAX(O28:O30)</f>
        <v>46708</v>
      </c>
      <c r="P27" s="28" t="s">
        <v>96</v>
      </c>
      <c r="Q27" s="31" t="str">
        <f aca="false">IF(COUNT(Q28:Q30)=0,"",MIN(Q28:Q30))</f>
        <v/>
      </c>
      <c r="R27" s="31" t="str">
        <f aca="false">IF(COUNTIFS(P28:P30,"Y")=COUNTIFS(P28:P30,"Y",R28:R30,"&gt;0"),MAX(R28:R30),"")</f>
        <v/>
      </c>
      <c r="S27" s="32" t="n">
        <f aca="false">IFERROR(SUMPRODUCT((P28:P30="Y")*L28:L30*S28:S30)/SUMIFS(L28:L30,P28:P30,"Y"),0)</f>
        <v>0</v>
      </c>
      <c r="T27" s="27" t="str">
        <f aca="false">IF(ISNUMBER(R27),"Completed",IF(ISNUMBER(Q27),"In Progress","Not Started"))</f>
        <v>Not Started</v>
      </c>
      <c r="U27" s="29"/>
    </row>
    <row r="28" customFormat="false" ht="15" hidden="false" customHeight="false" outlineLevel="2" collapsed="false">
      <c r="A28" s="33" t="s">
        <v>164</v>
      </c>
      <c r="B28" s="33" t="s">
        <v>165</v>
      </c>
      <c r="C28" s="34" t="s">
        <v>111</v>
      </c>
      <c r="D28" s="33" t="s">
        <v>157</v>
      </c>
      <c r="E28" s="33" t="s">
        <v>161</v>
      </c>
      <c r="F28" s="33" t="s">
        <v>166</v>
      </c>
      <c r="G28" s="33" t="s">
        <v>113</v>
      </c>
      <c r="H28" s="34" t="s">
        <v>159</v>
      </c>
      <c r="I28" s="33" t="s">
        <v>160</v>
      </c>
      <c r="J28" s="35" t="n">
        <v>25000</v>
      </c>
      <c r="K28" s="33" t="s">
        <v>167</v>
      </c>
      <c r="L28" s="36" t="n">
        <v>6</v>
      </c>
      <c r="M28" s="37" t="s">
        <v>168</v>
      </c>
      <c r="N28" s="38" t="n">
        <f aca="false">MAX(IF($L28=0,O24,WORKDAY.INTL(O24,1,11)),IF($L28=0,O20,WORKDAY.INTL(O20,1,11)))</f>
        <v>46680</v>
      </c>
      <c r="O28" s="38" t="n">
        <f aca="false">IF(L28=0,N28,WORKDAY.INTL(N28,L28-1,11))</f>
        <v>46686</v>
      </c>
      <c r="P28" s="34" t="s">
        <v>116</v>
      </c>
      <c r="Q28" s="39"/>
      <c r="R28" s="39"/>
      <c r="S28" s="40"/>
      <c r="T28" s="33" t="str">
        <f aca="false">IF(ISNUMBER(R28),"Completed",IF(ISNUMBER(Q28),"In Progress","Not Started"))</f>
        <v>Not Started</v>
      </c>
      <c r="U28" s="41"/>
    </row>
    <row r="29" customFormat="false" ht="15" hidden="false" customHeight="false" outlineLevel="2" collapsed="false">
      <c r="A29" s="33" t="s">
        <v>169</v>
      </c>
      <c r="B29" s="33" t="s">
        <v>170</v>
      </c>
      <c r="C29" s="34" t="s">
        <v>111</v>
      </c>
      <c r="D29" s="33" t="s">
        <v>157</v>
      </c>
      <c r="E29" s="33" t="s">
        <v>161</v>
      </c>
      <c r="F29" s="33" t="s">
        <v>171</v>
      </c>
      <c r="G29" s="33" t="s">
        <v>113</v>
      </c>
      <c r="H29" s="34" t="s">
        <v>159</v>
      </c>
      <c r="I29" s="33" t="s">
        <v>160</v>
      </c>
      <c r="J29" s="35" t="n">
        <v>18000</v>
      </c>
      <c r="K29" s="33" t="s">
        <v>172</v>
      </c>
      <c r="L29" s="36" t="n">
        <v>14</v>
      </c>
      <c r="M29" s="37" t="s">
        <v>173</v>
      </c>
      <c r="N29" s="38" t="n">
        <f aca="false">IF($L29=0,O28,WORKDAY.INTL(O28,1,11))</f>
        <v>46687</v>
      </c>
      <c r="O29" s="38" t="n">
        <f aca="false">IF(L29=0,N29,WORKDAY.INTL(N29,L29-1,11))</f>
        <v>46702</v>
      </c>
      <c r="P29" s="34" t="s">
        <v>116</v>
      </c>
      <c r="Q29" s="39"/>
      <c r="R29" s="39"/>
      <c r="S29" s="40"/>
      <c r="T29" s="33" t="str">
        <f aca="false">IF(ISNUMBER(R29),"Completed",IF(ISNUMBER(Q29),"In Progress","Not Started"))</f>
        <v>Not Started</v>
      </c>
      <c r="U29" s="41"/>
    </row>
    <row r="30" customFormat="false" ht="15" hidden="false" customHeight="false" outlineLevel="2" collapsed="false">
      <c r="A30" s="33" t="s">
        <v>174</v>
      </c>
      <c r="B30" s="33" t="s">
        <v>175</v>
      </c>
      <c r="C30" s="34" t="s">
        <v>111</v>
      </c>
      <c r="D30" s="33" t="s">
        <v>157</v>
      </c>
      <c r="E30" s="33" t="s">
        <v>161</v>
      </c>
      <c r="F30" s="33" t="s">
        <v>176</v>
      </c>
      <c r="G30" s="33" t="s">
        <v>113</v>
      </c>
      <c r="H30" s="34" t="s">
        <v>159</v>
      </c>
      <c r="I30" s="33" t="s">
        <v>160</v>
      </c>
      <c r="J30" s="35" t="n">
        <v>25000</v>
      </c>
      <c r="K30" s="33" t="s">
        <v>167</v>
      </c>
      <c r="L30" s="36" t="n">
        <v>5</v>
      </c>
      <c r="M30" s="37" t="s">
        <v>177</v>
      </c>
      <c r="N30" s="38" t="n">
        <f aca="false">IF($L30=0,O29,WORKDAY.INTL(O29,1,11))</f>
        <v>46703</v>
      </c>
      <c r="O30" s="38" t="n">
        <f aca="false">IF(L30=0,N30,WORKDAY.INTL(N30,L30-1,11))</f>
        <v>46708</v>
      </c>
      <c r="P30" s="34" t="s">
        <v>116</v>
      </c>
      <c r="Q30" s="39"/>
      <c r="R30" s="39"/>
      <c r="S30" s="40"/>
      <c r="T30" s="33" t="str">
        <f aca="false">IF(ISNUMBER(R30),"Completed",IF(ISNUMBER(Q30),"In Progress","Not Started"))</f>
        <v>Not Started</v>
      </c>
      <c r="U30" s="41"/>
    </row>
    <row r="31" customFormat="false" ht="15" hidden="false" customHeight="false" outlineLevel="1" collapsed="false">
      <c r="A31" s="27" t="s">
        <v>178</v>
      </c>
      <c r="B31" s="27" t="s">
        <v>179</v>
      </c>
      <c r="C31" s="28" t="s">
        <v>107</v>
      </c>
      <c r="D31" s="27" t="s">
        <v>157</v>
      </c>
      <c r="E31" s="27" t="s">
        <v>155</v>
      </c>
      <c r="F31" s="27" t="s">
        <v>180</v>
      </c>
      <c r="G31" s="27" t="s">
        <v>102</v>
      </c>
      <c r="H31" s="28" t="s">
        <v>159</v>
      </c>
      <c r="I31" s="27" t="s">
        <v>160</v>
      </c>
      <c r="J31" s="29"/>
      <c r="K31" s="29"/>
      <c r="L31" s="30" t="n">
        <f aca="false">NETWORKDAYS.INTL(N31,O31,11)</f>
        <v>50</v>
      </c>
      <c r="M31" s="29"/>
      <c r="N31" s="31" t="n">
        <f aca="false">MIN(N32:N36)</f>
        <v>46687</v>
      </c>
      <c r="O31" s="31" t="n">
        <f aca="false">MAX(O32:O36)</f>
        <v>46744</v>
      </c>
      <c r="P31" s="28" t="s">
        <v>96</v>
      </c>
      <c r="Q31" s="31" t="str">
        <f aca="false">IF(COUNT(Q32:Q36)=0,"",MIN(Q32:Q36))</f>
        <v/>
      </c>
      <c r="R31" s="31" t="str">
        <f aca="false">IF(COUNTIFS(P32:P36,"Y")=COUNTIFS(P32:P36,"Y",R32:R36,"&gt;0"),MAX(R32:R36),"")</f>
        <v/>
      </c>
      <c r="S31" s="32" t="n">
        <f aca="false">IFERROR(SUMPRODUCT((P32:P36="Y")*L32:L36*S32:S36)/SUMIFS(L32:L36,P32:P36,"Y"),0)</f>
        <v>0</v>
      </c>
      <c r="T31" s="27" t="str">
        <f aca="false">IF(ISNUMBER(R31),"Completed",IF(ISNUMBER(Q31),"In Progress","Not Started"))</f>
        <v>Not Started</v>
      </c>
      <c r="U31" s="29"/>
    </row>
    <row r="32" customFormat="false" ht="15" hidden="false" customHeight="false" outlineLevel="2" collapsed="false">
      <c r="A32" s="33" t="s">
        <v>181</v>
      </c>
      <c r="B32" s="33" t="s">
        <v>182</v>
      </c>
      <c r="C32" s="34" t="s">
        <v>111</v>
      </c>
      <c r="D32" s="33" t="s">
        <v>157</v>
      </c>
      <c r="E32" s="33" t="s">
        <v>178</v>
      </c>
      <c r="F32" s="33" t="s">
        <v>183</v>
      </c>
      <c r="G32" s="33" t="s">
        <v>113</v>
      </c>
      <c r="H32" s="34" t="s">
        <v>159</v>
      </c>
      <c r="I32" s="33" t="s">
        <v>160</v>
      </c>
      <c r="J32" s="35" t="n">
        <v>1200</v>
      </c>
      <c r="K32" s="33" t="s">
        <v>130</v>
      </c>
      <c r="L32" s="36" t="n">
        <v>8</v>
      </c>
      <c r="M32" s="37" t="s">
        <v>173</v>
      </c>
      <c r="N32" s="38" t="n">
        <f aca="false">IF($L32=0,O28,WORKDAY.INTL(O28,1,11))</f>
        <v>46687</v>
      </c>
      <c r="O32" s="38" t="n">
        <f aca="false">IF(L32=0,N32,WORKDAY.INTL(N32,L32-1,11))</f>
        <v>46695</v>
      </c>
      <c r="P32" s="34" t="s">
        <v>116</v>
      </c>
      <c r="Q32" s="39"/>
      <c r="R32" s="39"/>
      <c r="S32" s="40"/>
      <c r="T32" s="33" t="str">
        <f aca="false">IF(ISNUMBER(R32),"Completed",IF(ISNUMBER(Q32),"In Progress","Not Started"))</f>
        <v>Not Started</v>
      </c>
      <c r="U32" s="41"/>
    </row>
    <row r="33" customFormat="false" ht="15" hidden="false" customHeight="false" outlineLevel="2" collapsed="false">
      <c r="A33" s="33" t="s">
        <v>184</v>
      </c>
      <c r="B33" s="33" t="s">
        <v>185</v>
      </c>
      <c r="C33" s="34" t="s">
        <v>111</v>
      </c>
      <c r="D33" s="33" t="s">
        <v>157</v>
      </c>
      <c r="E33" s="33" t="s">
        <v>178</v>
      </c>
      <c r="F33" s="33" t="s">
        <v>186</v>
      </c>
      <c r="G33" s="33" t="s">
        <v>113</v>
      </c>
      <c r="H33" s="34" t="s">
        <v>159</v>
      </c>
      <c r="I33" s="33" t="s">
        <v>160</v>
      </c>
      <c r="J33" s="35" t="n">
        <v>1200</v>
      </c>
      <c r="K33" s="33" t="s">
        <v>130</v>
      </c>
      <c r="L33" s="36" t="n">
        <v>10</v>
      </c>
      <c r="M33" s="37" t="s">
        <v>187</v>
      </c>
      <c r="N33" s="38" t="n">
        <f aca="false">IF($L33=0,O32,WORKDAY.INTL(O32,1,11))</f>
        <v>46696</v>
      </c>
      <c r="O33" s="38" t="n">
        <f aca="false">IF(L33=0,N33,WORKDAY.INTL(N33,L33-1,11))</f>
        <v>46707</v>
      </c>
      <c r="P33" s="34" t="s">
        <v>116</v>
      </c>
      <c r="Q33" s="39"/>
      <c r="R33" s="39"/>
      <c r="S33" s="40"/>
      <c r="T33" s="33" t="str">
        <f aca="false">IF(ISNUMBER(R33),"Completed",IF(ISNUMBER(Q33),"In Progress","Not Started"))</f>
        <v>Not Started</v>
      </c>
      <c r="U33" s="41"/>
    </row>
    <row r="34" customFormat="false" ht="15" hidden="false" customHeight="false" outlineLevel="2" collapsed="false">
      <c r="A34" s="33" t="s">
        <v>188</v>
      </c>
      <c r="B34" s="33" t="s">
        <v>189</v>
      </c>
      <c r="C34" s="34" t="s">
        <v>111</v>
      </c>
      <c r="D34" s="33" t="s">
        <v>157</v>
      </c>
      <c r="E34" s="33" t="s">
        <v>178</v>
      </c>
      <c r="F34" s="33" t="s">
        <v>190</v>
      </c>
      <c r="G34" s="33" t="s">
        <v>113</v>
      </c>
      <c r="H34" s="34" t="s">
        <v>159</v>
      </c>
      <c r="I34" s="33" t="s">
        <v>160</v>
      </c>
      <c r="J34" s="35" t="n">
        <v>1200</v>
      </c>
      <c r="K34" s="33" t="s">
        <v>130</v>
      </c>
      <c r="L34" s="36" t="n">
        <v>20</v>
      </c>
      <c r="M34" s="37" t="s">
        <v>191</v>
      </c>
      <c r="N34" s="38" t="n">
        <f aca="false">IF($L34=0,O33,WORKDAY.INTL(O33,1,11))</f>
        <v>46708</v>
      </c>
      <c r="O34" s="38" t="n">
        <f aca="false">IF(L34=0,N34,WORKDAY.INTL(N34,L34-1,11))</f>
        <v>46730</v>
      </c>
      <c r="P34" s="34" t="s">
        <v>116</v>
      </c>
      <c r="Q34" s="39"/>
      <c r="R34" s="39"/>
      <c r="S34" s="40"/>
      <c r="T34" s="33" t="str">
        <f aca="false">IF(ISNUMBER(R34),"Completed",IF(ISNUMBER(Q34),"In Progress","Not Started"))</f>
        <v>Not Started</v>
      </c>
      <c r="U34" s="41"/>
    </row>
    <row r="35" customFormat="false" ht="15" hidden="false" customHeight="false" outlineLevel="2" collapsed="false">
      <c r="A35" s="33" t="s">
        <v>192</v>
      </c>
      <c r="B35" s="33" t="s">
        <v>193</v>
      </c>
      <c r="C35" s="34" t="s">
        <v>111</v>
      </c>
      <c r="D35" s="33" t="s">
        <v>157</v>
      </c>
      <c r="E35" s="33" t="s">
        <v>178</v>
      </c>
      <c r="F35" s="33" t="s">
        <v>194</v>
      </c>
      <c r="G35" s="33" t="s">
        <v>113</v>
      </c>
      <c r="H35" s="34" t="s">
        <v>159</v>
      </c>
      <c r="I35" s="33" t="s">
        <v>160</v>
      </c>
      <c r="J35" s="35" t="n">
        <v>1200</v>
      </c>
      <c r="K35" s="33" t="s">
        <v>130</v>
      </c>
      <c r="L35" s="36" t="n">
        <v>12</v>
      </c>
      <c r="M35" s="37" t="s">
        <v>195</v>
      </c>
      <c r="N35" s="38" t="n">
        <f aca="false">IF($L35=0,O34,WORKDAY.INTL(O34,1,11))</f>
        <v>46731</v>
      </c>
      <c r="O35" s="38" t="n">
        <f aca="false">IF(L35=0,N35,WORKDAY.INTL(N35,L35-1,11))</f>
        <v>46744</v>
      </c>
      <c r="P35" s="34" t="s">
        <v>116</v>
      </c>
      <c r="Q35" s="39"/>
      <c r="R35" s="39"/>
      <c r="S35" s="40"/>
      <c r="T35" s="33" t="str">
        <f aca="false">IF(ISNUMBER(R35),"Completed",IF(ISNUMBER(Q35),"In Progress","Not Started"))</f>
        <v>Not Started</v>
      </c>
      <c r="U35" s="41"/>
    </row>
    <row r="36" customFormat="false" ht="15" hidden="false" customHeight="false" outlineLevel="2" collapsed="false">
      <c r="A36" s="33" t="s">
        <v>196</v>
      </c>
      <c r="B36" s="33" t="s">
        <v>197</v>
      </c>
      <c r="C36" s="34" t="s">
        <v>111</v>
      </c>
      <c r="D36" s="33" t="s">
        <v>157</v>
      </c>
      <c r="E36" s="33" t="s">
        <v>178</v>
      </c>
      <c r="F36" s="33" t="s">
        <v>198</v>
      </c>
      <c r="G36" s="33" t="s">
        <v>113</v>
      </c>
      <c r="H36" s="34" t="s">
        <v>159</v>
      </c>
      <c r="I36" s="33" t="s">
        <v>160</v>
      </c>
      <c r="J36" s="35" t="n">
        <v>1</v>
      </c>
      <c r="K36" s="33" t="s">
        <v>114</v>
      </c>
      <c r="L36" s="36" t="n">
        <v>6</v>
      </c>
      <c r="M36" s="37" t="s">
        <v>195</v>
      </c>
      <c r="N36" s="38" t="n">
        <f aca="false">IF($L36=0,O34,WORKDAY.INTL(O34,1,11))</f>
        <v>46731</v>
      </c>
      <c r="O36" s="38" t="n">
        <f aca="false">IF(L36=0,N36,WORKDAY.INTL(N36,L36-1,11))</f>
        <v>46737</v>
      </c>
      <c r="P36" s="34" t="s">
        <v>116</v>
      </c>
      <c r="Q36" s="39"/>
      <c r="R36" s="39"/>
      <c r="S36" s="40"/>
      <c r="T36" s="33" t="str">
        <f aca="false">IF(ISNUMBER(R36),"Completed",IF(ISNUMBER(Q36),"In Progress","Not Started"))</f>
        <v>Not Started</v>
      </c>
      <c r="U36" s="41"/>
    </row>
    <row r="37" customFormat="false" ht="15" hidden="false" customHeight="false" outlineLevel="0" collapsed="false">
      <c r="A37" s="21" t="s">
        <v>199</v>
      </c>
      <c r="B37" s="21" t="s">
        <v>200</v>
      </c>
      <c r="C37" s="22" t="s">
        <v>99</v>
      </c>
      <c r="D37" s="21" t="s">
        <v>157</v>
      </c>
      <c r="E37" s="21" t="s">
        <v>157</v>
      </c>
      <c r="F37" s="21" t="s">
        <v>201</v>
      </c>
      <c r="G37" s="21" t="s">
        <v>102</v>
      </c>
      <c r="H37" s="22" t="s">
        <v>159</v>
      </c>
      <c r="I37" s="21" t="s">
        <v>160</v>
      </c>
      <c r="J37" s="23"/>
      <c r="K37" s="23"/>
      <c r="L37" s="24" t="n">
        <f aca="false">NETWORKDAYS.INTL(N37,O37,11)</f>
        <v>141</v>
      </c>
      <c r="M37" s="23"/>
      <c r="N37" s="25" t="n">
        <f aca="false">MIN(N38:N47)</f>
        <v>46709</v>
      </c>
      <c r="O37" s="25" t="n">
        <f aca="false">MAX(O38:O47)</f>
        <v>46872</v>
      </c>
      <c r="P37" s="22" t="s">
        <v>96</v>
      </c>
      <c r="Q37" s="25" t="str">
        <f aca="false">IF(COUNT(Q38:Q47)=0,"",MIN(Q38:Q47))</f>
        <v/>
      </c>
      <c r="R37" s="25" t="str">
        <f aca="false">IF(COUNTIFS(P38:P47,"Y")=COUNTIFS(P38:P47,"Y",R38:R47,"&gt;0"),MAX(R38:R47),"")</f>
        <v/>
      </c>
      <c r="S37" s="26" t="n">
        <f aca="false">IFERROR(SUMPRODUCT((P38:P47="Y")*L38:L47*S38:S47)/SUMIFS(L38:L47,P38:P47,"Y"),0)</f>
        <v>0</v>
      </c>
      <c r="T37" s="21" t="str">
        <f aca="false">IF(ISNUMBER(R37),"Completed",IF(ISNUMBER(Q37),"In Progress","Not Started"))</f>
        <v>Not Started</v>
      </c>
      <c r="U37" s="23"/>
    </row>
    <row r="38" customFormat="false" ht="15" hidden="false" customHeight="false" outlineLevel="1" collapsed="false">
      <c r="A38" s="27" t="s">
        <v>202</v>
      </c>
      <c r="B38" s="27" t="s">
        <v>203</v>
      </c>
      <c r="C38" s="28" t="s">
        <v>107</v>
      </c>
      <c r="D38" s="27" t="s">
        <v>157</v>
      </c>
      <c r="E38" s="27" t="s">
        <v>199</v>
      </c>
      <c r="F38" s="27" t="s">
        <v>204</v>
      </c>
      <c r="G38" s="27" t="s">
        <v>102</v>
      </c>
      <c r="H38" s="28" t="s">
        <v>159</v>
      </c>
      <c r="I38" s="27" t="s">
        <v>160</v>
      </c>
      <c r="J38" s="29"/>
      <c r="K38" s="29"/>
      <c r="L38" s="30" t="n">
        <f aca="false">NETWORKDAYS.INTL(N38,O38,11)</f>
        <v>38</v>
      </c>
      <c r="M38" s="29"/>
      <c r="N38" s="31" t="n">
        <f aca="false">MIN(N39:N42)</f>
        <v>46709</v>
      </c>
      <c r="O38" s="31" t="n">
        <f aca="false">MAX(O39:O42)</f>
        <v>46752</v>
      </c>
      <c r="P38" s="28" t="s">
        <v>96</v>
      </c>
      <c r="Q38" s="31" t="str">
        <f aca="false">IF(COUNT(Q39:Q42)=0,"",MIN(Q39:Q42))</f>
        <v/>
      </c>
      <c r="R38" s="31" t="str">
        <f aca="false">IF(COUNTIFS(P39:P42,"Y")=COUNTIFS(P39:P42,"Y",R39:R42,"&gt;0"),MAX(R39:R42),"")</f>
        <v/>
      </c>
      <c r="S38" s="32" t="n">
        <f aca="false">IFERROR(SUMPRODUCT((P39:P42="Y")*L39:L42*S39:S42)/SUMIFS(L39:L42,P39:P42,"Y"),0)</f>
        <v>0</v>
      </c>
      <c r="T38" s="27" t="str">
        <f aca="false">IF(ISNUMBER(R38),"Completed",IF(ISNUMBER(Q38),"In Progress","Not Started"))</f>
        <v>Not Started</v>
      </c>
      <c r="U38" s="29"/>
    </row>
    <row r="39" customFormat="false" ht="15" hidden="false" customHeight="false" outlineLevel="2" collapsed="false">
      <c r="A39" s="33" t="s">
        <v>205</v>
      </c>
      <c r="B39" s="33" t="s">
        <v>206</v>
      </c>
      <c r="C39" s="34" t="s">
        <v>111</v>
      </c>
      <c r="D39" s="33" t="s">
        <v>157</v>
      </c>
      <c r="E39" s="33" t="s">
        <v>202</v>
      </c>
      <c r="F39" s="33" t="s">
        <v>207</v>
      </c>
      <c r="G39" s="33" t="s">
        <v>113</v>
      </c>
      <c r="H39" s="34" t="s">
        <v>159</v>
      </c>
      <c r="I39" s="33" t="s">
        <v>160</v>
      </c>
      <c r="J39" s="35" t="n">
        <v>900</v>
      </c>
      <c r="K39" s="33" t="s">
        <v>130</v>
      </c>
      <c r="L39" s="36" t="n">
        <v>10</v>
      </c>
      <c r="M39" s="37" t="s">
        <v>208</v>
      </c>
      <c r="N39" s="38" t="n">
        <f aca="false">IF($L39=0,O30,WORKDAY.INTL(O30,1,11))</f>
        <v>46709</v>
      </c>
      <c r="O39" s="38" t="n">
        <f aca="false">IF(L39=0,N39,WORKDAY.INTL(N39,L39-1,11))</f>
        <v>46720</v>
      </c>
      <c r="P39" s="34" t="s">
        <v>116</v>
      </c>
      <c r="Q39" s="39"/>
      <c r="R39" s="39"/>
      <c r="S39" s="40"/>
      <c r="T39" s="33" t="str">
        <f aca="false">IF(ISNUMBER(R39),"Completed",IF(ISNUMBER(Q39),"In Progress","Not Started"))</f>
        <v>Not Started</v>
      </c>
      <c r="U39" s="41"/>
    </row>
    <row r="40" customFormat="false" ht="15" hidden="false" customHeight="false" outlineLevel="2" collapsed="false">
      <c r="A40" s="33" t="s">
        <v>209</v>
      </c>
      <c r="B40" s="33" t="s">
        <v>210</v>
      </c>
      <c r="C40" s="34" t="s">
        <v>111</v>
      </c>
      <c r="D40" s="33" t="s">
        <v>157</v>
      </c>
      <c r="E40" s="33" t="s">
        <v>202</v>
      </c>
      <c r="F40" s="33" t="s">
        <v>211</v>
      </c>
      <c r="G40" s="33" t="s">
        <v>113</v>
      </c>
      <c r="H40" s="34" t="s">
        <v>159</v>
      </c>
      <c r="I40" s="33" t="s">
        <v>160</v>
      </c>
      <c r="J40" s="35" t="n">
        <v>900</v>
      </c>
      <c r="K40" s="33" t="s">
        <v>130</v>
      </c>
      <c r="L40" s="36" t="n">
        <v>6</v>
      </c>
      <c r="M40" s="37" t="s">
        <v>212</v>
      </c>
      <c r="N40" s="38" t="n">
        <f aca="false">IF($L40=0,O39,WORKDAY.INTL(O39,1,11))</f>
        <v>46721</v>
      </c>
      <c r="O40" s="38" t="n">
        <f aca="false">IF(L40=0,N40,WORKDAY.INTL(N40,L40-1,11))</f>
        <v>46727</v>
      </c>
      <c r="P40" s="34" t="s">
        <v>116</v>
      </c>
      <c r="Q40" s="39"/>
      <c r="R40" s="39"/>
      <c r="S40" s="40"/>
      <c r="T40" s="33" t="str">
        <f aca="false">IF(ISNUMBER(R40),"Completed",IF(ISNUMBER(Q40),"In Progress","Not Started"))</f>
        <v>Not Started</v>
      </c>
      <c r="U40" s="41"/>
    </row>
    <row r="41" customFormat="false" ht="15" hidden="false" customHeight="false" outlineLevel="2" collapsed="false">
      <c r="A41" s="33" t="s">
        <v>213</v>
      </c>
      <c r="B41" s="33" t="s">
        <v>214</v>
      </c>
      <c r="C41" s="34" t="s">
        <v>111</v>
      </c>
      <c r="D41" s="33" t="s">
        <v>157</v>
      </c>
      <c r="E41" s="33" t="s">
        <v>202</v>
      </c>
      <c r="F41" s="33" t="s">
        <v>215</v>
      </c>
      <c r="G41" s="33" t="s">
        <v>113</v>
      </c>
      <c r="H41" s="34" t="s">
        <v>159</v>
      </c>
      <c r="I41" s="33" t="s">
        <v>160</v>
      </c>
      <c r="J41" s="35" t="n">
        <v>900</v>
      </c>
      <c r="K41" s="33" t="s">
        <v>130</v>
      </c>
      <c r="L41" s="36" t="n">
        <v>16</v>
      </c>
      <c r="M41" s="37" t="s">
        <v>216</v>
      </c>
      <c r="N41" s="38" t="n">
        <f aca="false">IF($L41=0,O40,WORKDAY.INTL(O40,1,11))</f>
        <v>46728</v>
      </c>
      <c r="O41" s="38" t="n">
        <f aca="false">IF(L41=0,N41,WORKDAY.INTL(N41,L41-1,11))</f>
        <v>46745</v>
      </c>
      <c r="P41" s="34" t="s">
        <v>116</v>
      </c>
      <c r="Q41" s="39"/>
      <c r="R41" s="39"/>
      <c r="S41" s="40"/>
      <c r="T41" s="33" t="str">
        <f aca="false">IF(ISNUMBER(R41),"Completed",IF(ISNUMBER(Q41),"In Progress","Not Started"))</f>
        <v>Not Started</v>
      </c>
      <c r="U41" s="41"/>
    </row>
    <row r="42" customFormat="false" ht="15" hidden="false" customHeight="false" outlineLevel="2" collapsed="false">
      <c r="A42" s="33" t="s">
        <v>217</v>
      </c>
      <c r="B42" s="33" t="s">
        <v>218</v>
      </c>
      <c r="C42" s="34" t="s">
        <v>111</v>
      </c>
      <c r="D42" s="33" t="s">
        <v>157</v>
      </c>
      <c r="E42" s="33" t="s">
        <v>202</v>
      </c>
      <c r="F42" s="33" t="s">
        <v>219</v>
      </c>
      <c r="G42" s="33" t="s">
        <v>113</v>
      </c>
      <c r="H42" s="34" t="s">
        <v>159</v>
      </c>
      <c r="I42" s="33" t="s">
        <v>160</v>
      </c>
      <c r="J42" s="35" t="n">
        <v>900</v>
      </c>
      <c r="K42" s="33" t="s">
        <v>130</v>
      </c>
      <c r="L42" s="36" t="n">
        <v>6</v>
      </c>
      <c r="M42" s="37" t="s">
        <v>220</v>
      </c>
      <c r="N42" s="38" t="n">
        <f aca="false">IF($L42=0,O41,WORKDAY.INTL(O41,1,11))</f>
        <v>46746</v>
      </c>
      <c r="O42" s="38" t="n">
        <f aca="false">IF(L42=0,N42,WORKDAY.INTL(N42,L42-1,11))</f>
        <v>46752</v>
      </c>
      <c r="P42" s="34" t="s">
        <v>116</v>
      </c>
      <c r="Q42" s="39"/>
      <c r="R42" s="39"/>
      <c r="S42" s="40"/>
      <c r="T42" s="33" t="str">
        <f aca="false">IF(ISNUMBER(R42),"Completed",IF(ISNUMBER(Q42),"In Progress","Not Started"))</f>
        <v>Not Started</v>
      </c>
      <c r="U42" s="41"/>
    </row>
    <row r="43" customFormat="false" ht="15" hidden="false" customHeight="false" outlineLevel="1" collapsed="false">
      <c r="A43" s="27" t="s">
        <v>221</v>
      </c>
      <c r="B43" s="27" t="s">
        <v>222</v>
      </c>
      <c r="C43" s="28" t="s">
        <v>107</v>
      </c>
      <c r="D43" s="27" t="s">
        <v>157</v>
      </c>
      <c r="E43" s="27" t="s">
        <v>199</v>
      </c>
      <c r="F43" s="27" t="s">
        <v>223</v>
      </c>
      <c r="G43" s="27" t="s">
        <v>102</v>
      </c>
      <c r="H43" s="28" t="s">
        <v>159</v>
      </c>
      <c r="I43" s="27" t="s">
        <v>160</v>
      </c>
      <c r="J43" s="29"/>
      <c r="K43" s="29"/>
      <c r="L43" s="30" t="n">
        <f aca="false">NETWORKDAYS.INTL(N43,O43,11)</f>
        <v>141</v>
      </c>
      <c r="M43" s="29"/>
      <c r="N43" s="31" t="n">
        <f aca="false">MIN(N44:N47)</f>
        <v>46709</v>
      </c>
      <c r="O43" s="31" t="n">
        <f aca="false">MAX(O44:O47)</f>
        <v>46872</v>
      </c>
      <c r="P43" s="28" t="s">
        <v>96</v>
      </c>
      <c r="Q43" s="31" t="str">
        <f aca="false">IF(COUNT(Q44:Q47)=0,"",MIN(Q44:Q47))</f>
        <v/>
      </c>
      <c r="R43" s="31" t="str">
        <f aca="false">IF(COUNTIFS(P44:P47,"Y")=COUNTIFS(P44:P47,"Y",R44:R47,"&gt;0"),MAX(R44:R47),"")</f>
        <v/>
      </c>
      <c r="S43" s="32" t="n">
        <f aca="false">IFERROR(SUMPRODUCT((P44:P47="Y")*L44:L47*S44:S47)/SUMIFS(L44:L47,P44:P47,"Y"),0)</f>
        <v>0</v>
      </c>
      <c r="T43" s="27" t="str">
        <f aca="false">IF(ISNUMBER(R43),"Completed",IF(ISNUMBER(Q43),"In Progress","Not Started"))</f>
        <v>Not Started</v>
      </c>
      <c r="U43" s="29"/>
    </row>
    <row r="44" customFormat="false" ht="15" hidden="false" customHeight="false" outlineLevel="2" collapsed="false">
      <c r="A44" s="33" t="s">
        <v>224</v>
      </c>
      <c r="B44" s="33" t="s">
        <v>225</v>
      </c>
      <c r="C44" s="34" t="s">
        <v>111</v>
      </c>
      <c r="D44" s="33" t="s">
        <v>157</v>
      </c>
      <c r="E44" s="33" t="s">
        <v>221</v>
      </c>
      <c r="F44" s="33" t="s">
        <v>226</v>
      </c>
      <c r="G44" s="33" t="s">
        <v>113</v>
      </c>
      <c r="H44" s="34" t="s">
        <v>159</v>
      </c>
      <c r="I44" s="33" t="s">
        <v>160</v>
      </c>
      <c r="J44" s="35" t="n">
        <v>6000</v>
      </c>
      <c r="K44" s="33" t="s">
        <v>167</v>
      </c>
      <c r="L44" s="36" t="n">
        <v>8</v>
      </c>
      <c r="M44" s="37" t="s">
        <v>208</v>
      </c>
      <c r="N44" s="38" t="n">
        <f aca="false">IF($L44=0,O30,WORKDAY.INTL(O30,1,11))</f>
        <v>46709</v>
      </c>
      <c r="O44" s="38" t="n">
        <f aca="false">IF(L44=0,N44,WORKDAY.INTL(N44,L44-1,11))</f>
        <v>46717</v>
      </c>
      <c r="P44" s="34" t="s">
        <v>116</v>
      </c>
      <c r="Q44" s="39"/>
      <c r="R44" s="39"/>
      <c r="S44" s="40"/>
      <c r="T44" s="33" t="str">
        <f aca="false">IF(ISNUMBER(R44),"Completed",IF(ISNUMBER(Q44),"In Progress","Not Started"))</f>
        <v>Not Started</v>
      </c>
      <c r="U44" s="41"/>
    </row>
    <row r="45" customFormat="false" ht="15" hidden="false" customHeight="false" outlineLevel="2" collapsed="false">
      <c r="A45" s="33" t="s">
        <v>227</v>
      </c>
      <c r="B45" s="33" t="s">
        <v>228</v>
      </c>
      <c r="C45" s="34" t="s">
        <v>111</v>
      </c>
      <c r="D45" s="33" t="s">
        <v>157</v>
      </c>
      <c r="E45" s="33" t="s">
        <v>221</v>
      </c>
      <c r="F45" s="33" t="s">
        <v>229</v>
      </c>
      <c r="G45" s="33" t="s">
        <v>113</v>
      </c>
      <c r="H45" s="34" t="s">
        <v>159</v>
      </c>
      <c r="I45" s="33" t="s">
        <v>160</v>
      </c>
      <c r="J45" s="35" t="n">
        <v>6000</v>
      </c>
      <c r="K45" s="33" t="s">
        <v>167</v>
      </c>
      <c r="L45" s="36" t="n">
        <v>10</v>
      </c>
      <c r="M45" s="37" t="s">
        <v>230</v>
      </c>
      <c r="N45" s="38" t="n">
        <f aca="false">MAX(IF($L45=0,O44,WORKDAY.INTL(O44,1,11)),IF($L45=0,O176,WORKDAY.INTL(O176,1,11)))</f>
        <v>46737</v>
      </c>
      <c r="O45" s="38" t="n">
        <f aca="false">IF(L45=0,N45,WORKDAY.INTL(N45,L45-1,11))</f>
        <v>46748</v>
      </c>
      <c r="P45" s="34" t="s">
        <v>116</v>
      </c>
      <c r="Q45" s="39"/>
      <c r="R45" s="39"/>
      <c r="S45" s="40"/>
      <c r="T45" s="33" t="str">
        <f aca="false">IF(ISNUMBER(R45),"Completed",IF(ISNUMBER(Q45),"In Progress","Not Started"))</f>
        <v>Not Started</v>
      </c>
      <c r="U45" s="41"/>
    </row>
    <row r="46" customFormat="false" ht="23.85" hidden="false" customHeight="false" outlineLevel="2" collapsed="false">
      <c r="A46" s="33" t="s">
        <v>231</v>
      </c>
      <c r="B46" s="33" t="s">
        <v>232</v>
      </c>
      <c r="C46" s="34" t="s">
        <v>111</v>
      </c>
      <c r="D46" s="33" t="s">
        <v>157</v>
      </c>
      <c r="E46" s="33" t="s">
        <v>221</v>
      </c>
      <c r="F46" s="33" t="s">
        <v>233</v>
      </c>
      <c r="G46" s="33" t="s">
        <v>113</v>
      </c>
      <c r="H46" s="34" t="s">
        <v>159</v>
      </c>
      <c r="I46" s="33" t="s">
        <v>160</v>
      </c>
      <c r="J46" s="35" t="n">
        <v>6000</v>
      </c>
      <c r="K46" s="33" t="s">
        <v>167</v>
      </c>
      <c r="L46" s="36" t="n">
        <v>14</v>
      </c>
      <c r="M46" s="37" t="s">
        <v>234</v>
      </c>
      <c r="N46" s="38" t="n">
        <f aca="false">MAX(IF($L46=0,O45,WORKDAY.INTL(O45,1,11)),IF($L46=0,O165,WORKDAY.INTL(O165,1,11)),IF($L46=0,O42,WORKDAY.INTL(O42,1,11)))</f>
        <v>46854</v>
      </c>
      <c r="O46" s="38" t="n">
        <f aca="false">IF(L46=0,N46,WORKDAY.INTL(N46,L46-1,11))</f>
        <v>46869</v>
      </c>
      <c r="P46" s="34" t="s">
        <v>116</v>
      </c>
      <c r="Q46" s="39"/>
      <c r="R46" s="39"/>
      <c r="S46" s="40"/>
      <c r="T46" s="33" t="str">
        <f aca="false">IF(ISNUMBER(R46),"Completed",IF(ISNUMBER(Q46),"In Progress","Not Started"))</f>
        <v>Not Started</v>
      </c>
      <c r="U46" s="41"/>
    </row>
    <row r="47" customFormat="false" ht="15" hidden="false" customHeight="false" outlineLevel="2" collapsed="false">
      <c r="A47" s="33" t="s">
        <v>235</v>
      </c>
      <c r="B47" s="33" t="s">
        <v>236</v>
      </c>
      <c r="C47" s="34" t="s">
        <v>111</v>
      </c>
      <c r="D47" s="33" t="s">
        <v>157</v>
      </c>
      <c r="E47" s="33" t="s">
        <v>221</v>
      </c>
      <c r="F47" s="33" t="s">
        <v>237</v>
      </c>
      <c r="G47" s="33" t="s">
        <v>113</v>
      </c>
      <c r="H47" s="34" t="s">
        <v>159</v>
      </c>
      <c r="I47" s="33" t="s">
        <v>160</v>
      </c>
      <c r="J47" s="35" t="n">
        <v>1</v>
      </c>
      <c r="K47" s="33" t="s">
        <v>114</v>
      </c>
      <c r="L47" s="36" t="n">
        <v>3</v>
      </c>
      <c r="M47" s="37" t="s">
        <v>238</v>
      </c>
      <c r="N47" s="38" t="n">
        <f aca="false">IF($L47=0,O46,WORKDAY.INTL(O46,1,11))</f>
        <v>46870</v>
      </c>
      <c r="O47" s="38" t="n">
        <f aca="false">IF(L47=0,N47,WORKDAY.INTL(N47,L47-1,11))</f>
        <v>46872</v>
      </c>
      <c r="P47" s="34" t="s">
        <v>116</v>
      </c>
      <c r="Q47" s="39"/>
      <c r="R47" s="39"/>
      <c r="S47" s="40"/>
      <c r="T47" s="33" t="str">
        <f aca="false">IF(ISNUMBER(R47),"Completed",IF(ISNUMBER(Q47),"In Progress","Not Started"))</f>
        <v>Not Started</v>
      </c>
      <c r="U47" s="41"/>
    </row>
    <row r="48" customFormat="false" ht="15" hidden="false" customHeight="false" outlineLevel="0" collapsed="false">
      <c r="A48" s="21" t="s">
        <v>239</v>
      </c>
      <c r="B48" s="21" t="s">
        <v>240</v>
      </c>
      <c r="C48" s="22" t="s">
        <v>99</v>
      </c>
      <c r="D48" s="21" t="s">
        <v>241</v>
      </c>
      <c r="E48" s="21" t="s">
        <v>241</v>
      </c>
      <c r="F48" s="21" t="s">
        <v>242</v>
      </c>
      <c r="G48" s="21" t="s">
        <v>102</v>
      </c>
      <c r="H48" s="22" t="s">
        <v>159</v>
      </c>
      <c r="I48" s="21" t="s">
        <v>160</v>
      </c>
      <c r="J48" s="23"/>
      <c r="K48" s="23"/>
      <c r="L48" s="24" t="n">
        <f aca="false">NETWORKDAYS.INTL(N48,O48,11)</f>
        <v>50</v>
      </c>
      <c r="M48" s="23"/>
      <c r="N48" s="25" t="n">
        <f aca="false">MIN(N49:N66)</f>
        <v>46709</v>
      </c>
      <c r="O48" s="25" t="n">
        <f aca="false">MAX(O49:O66)</f>
        <v>46766</v>
      </c>
      <c r="P48" s="22" t="s">
        <v>96</v>
      </c>
      <c r="Q48" s="25" t="str">
        <f aca="false">IF(COUNT(Q49:Q66)=0,"",MIN(Q49:Q66))</f>
        <v/>
      </c>
      <c r="R48" s="25" t="str">
        <f aca="false">IF(COUNTIFS(P49:P66,"Y")=COUNTIFS(P49:P66,"Y",R49:R66,"&gt;0"),MAX(R49:R66),"")</f>
        <v/>
      </c>
      <c r="S48" s="26" t="n">
        <f aca="false">IFERROR(SUMPRODUCT((P49:P66="Y")*L49:L66*S49:S66)/SUMIFS(L49:L66,P49:P66,"Y"),0)</f>
        <v>0</v>
      </c>
      <c r="T48" s="21" t="str">
        <f aca="false">IF(ISNUMBER(R48),"Completed",IF(ISNUMBER(Q48),"In Progress","Not Started"))</f>
        <v>Not Started</v>
      </c>
      <c r="U48" s="23"/>
    </row>
    <row r="49" customFormat="false" ht="15" hidden="false" customHeight="false" outlineLevel="1" collapsed="false">
      <c r="A49" s="27" t="s">
        <v>243</v>
      </c>
      <c r="B49" s="27" t="s">
        <v>244</v>
      </c>
      <c r="C49" s="28" t="s">
        <v>107</v>
      </c>
      <c r="D49" s="27" t="s">
        <v>241</v>
      </c>
      <c r="E49" s="27" t="s">
        <v>239</v>
      </c>
      <c r="F49" s="27" t="s">
        <v>245</v>
      </c>
      <c r="G49" s="27" t="s">
        <v>102</v>
      </c>
      <c r="H49" s="28" t="s">
        <v>159</v>
      </c>
      <c r="I49" s="27" t="s">
        <v>160</v>
      </c>
      <c r="J49" s="29"/>
      <c r="K49" s="29"/>
      <c r="L49" s="30" t="n">
        <f aca="false">NETWORKDAYS.INTL(N49,O49,11)</f>
        <v>26</v>
      </c>
      <c r="M49" s="29"/>
      <c r="N49" s="31" t="n">
        <f aca="false">MIN(N50:N54)</f>
        <v>46709</v>
      </c>
      <c r="O49" s="31" t="n">
        <f aca="false">MAX(O50:O54)</f>
        <v>46738</v>
      </c>
      <c r="P49" s="28" t="s">
        <v>96</v>
      </c>
      <c r="Q49" s="31" t="str">
        <f aca="false">IF(COUNT(Q50:Q54)=0,"",MIN(Q50:Q54))</f>
        <v/>
      </c>
      <c r="R49" s="31" t="str">
        <f aca="false">IF(COUNTIFS(P50:P54,"Y")=COUNTIFS(P50:P54,"Y",R50:R54,"&gt;0"),MAX(R50:R54),"")</f>
        <v/>
      </c>
      <c r="S49" s="32" t="n">
        <f aca="false">IFERROR(SUMPRODUCT((P50:P54="Y")*L50:L54*S50:S54)/SUMIFS(L50:L54,P50:P54,"Y"),0)</f>
        <v>0</v>
      </c>
      <c r="T49" s="27" t="str">
        <f aca="false">IF(ISNUMBER(R49),"Completed",IF(ISNUMBER(Q49),"In Progress","Not Started"))</f>
        <v>Not Started</v>
      </c>
      <c r="U49" s="29"/>
    </row>
    <row r="50" customFormat="false" ht="15" hidden="false" customHeight="false" outlineLevel="2" collapsed="false">
      <c r="A50" s="33" t="s">
        <v>246</v>
      </c>
      <c r="B50" s="33" t="s">
        <v>247</v>
      </c>
      <c r="C50" s="34" t="s">
        <v>111</v>
      </c>
      <c r="D50" s="33" t="s">
        <v>241</v>
      </c>
      <c r="E50" s="33" t="s">
        <v>243</v>
      </c>
      <c r="F50" s="33" t="s">
        <v>248</v>
      </c>
      <c r="G50" s="33" t="s">
        <v>113</v>
      </c>
      <c r="H50" s="34" t="s">
        <v>159</v>
      </c>
      <c r="I50" s="33" t="s">
        <v>160</v>
      </c>
      <c r="J50" s="35" t="n">
        <v>2200</v>
      </c>
      <c r="K50" s="33" t="s">
        <v>172</v>
      </c>
      <c r="L50" s="36" t="n">
        <v>6</v>
      </c>
      <c r="M50" s="37" t="s">
        <v>208</v>
      </c>
      <c r="N50" s="38" t="n">
        <f aca="false">IF($L50=0,O30,WORKDAY.INTL(O30,1,11))</f>
        <v>46709</v>
      </c>
      <c r="O50" s="38" t="n">
        <f aca="false">IF(L50=0,N50,WORKDAY.INTL(N50,L50-1,11))</f>
        <v>46715</v>
      </c>
      <c r="P50" s="34" t="s">
        <v>116</v>
      </c>
      <c r="Q50" s="39"/>
      <c r="R50" s="39"/>
      <c r="S50" s="40"/>
      <c r="T50" s="33" t="str">
        <f aca="false">IF(ISNUMBER(R50),"Completed",IF(ISNUMBER(Q50),"In Progress","Not Started"))</f>
        <v>Not Started</v>
      </c>
      <c r="U50" s="41"/>
    </row>
    <row r="51" customFormat="false" ht="15" hidden="false" customHeight="false" outlineLevel="2" collapsed="false">
      <c r="A51" s="33" t="s">
        <v>249</v>
      </c>
      <c r="B51" s="33" t="s">
        <v>250</v>
      </c>
      <c r="C51" s="34" t="s">
        <v>111</v>
      </c>
      <c r="D51" s="33" t="s">
        <v>241</v>
      </c>
      <c r="E51" s="33" t="s">
        <v>243</v>
      </c>
      <c r="F51" s="33" t="s">
        <v>251</v>
      </c>
      <c r="G51" s="33" t="s">
        <v>113</v>
      </c>
      <c r="H51" s="34" t="s">
        <v>159</v>
      </c>
      <c r="I51" s="33" t="s">
        <v>160</v>
      </c>
      <c r="J51" s="35" t="n">
        <v>110</v>
      </c>
      <c r="K51" s="33" t="s">
        <v>172</v>
      </c>
      <c r="L51" s="36" t="n">
        <v>3</v>
      </c>
      <c r="M51" s="37" t="s">
        <v>252</v>
      </c>
      <c r="N51" s="38" t="n">
        <f aca="false">IF($L51=0,O50,WORKDAY.INTL(O50,1,11))</f>
        <v>46716</v>
      </c>
      <c r="O51" s="38" t="n">
        <f aca="false">IF(L51=0,N51,WORKDAY.INTL(N51,L51-1,11))</f>
        <v>46718</v>
      </c>
      <c r="P51" s="34" t="s">
        <v>116</v>
      </c>
      <c r="Q51" s="39"/>
      <c r="R51" s="39"/>
      <c r="S51" s="40"/>
      <c r="T51" s="33" t="str">
        <f aca="false">IF(ISNUMBER(R51),"Completed",IF(ISNUMBER(Q51),"In Progress","Not Started"))</f>
        <v>Not Started</v>
      </c>
      <c r="U51" s="41"/>
    </row>
    <row r="52" customFormat="false" ht="15" hidden="false" customHeight="false" outlineLevel="2" collapsed="false">
      <c r="A52" s="33" t="s">
        <v>253</v>
      </c>
      <c r="B52" s="33" t="s">
        <v>254</v>
      </c>
      <c r="C52" s="34" t="s">
        <v>111</v>
      </c>
      <c r="D52" s="33" t="s">
        <v>241</v>
      </c>
      <c r="E52" s="33" t="s">
        <v>243</v>
      </c>
      <c r="F52" s="33" t="s">
        <v>255</v>
      </c>
      <c r="G52" s="33" t="s">
        <v>113</v>
      </c>
      <c r="H52" s="34" t="s">
        <v>159</v>
      </c>
      <c r="I52" s="33" t="s">
        <v>160</v>
      </c>
      <c r="J52" s="35" t="n">
        <v>38</v>
      </c>
      <c r="K52" s="33" t="s">
        <v>256</v>
      </c>
      <c r="L52" s="36" t="n">
        <v>8</v>
      </c>
      <c r="M52" s="37" t="s">
        <v>257</v>
      </c>
      <c r="N52" s="38" t="n">
        <f aca="false">IF($L52=0,O51,WORKDAY.INTL(O51,1,11))</f>
        <v>46720</v>
      </c>
      <c r="O52" s="38" t="n">
        <f aca="false">IF(L52=0,N52,WORKDAY.INTL(N52,L52-1,11))</f>
        <v>46728</v>
      </c>
      <c r="P52" s="34" t="s">
        <v>116</v>
      </c>
      <c r="Q52" s="39"/>
      <c r="R52" s="39"/>
      <c r="S52" s="40"/>
      <c r="T52" s="33" t="str">
        <f aca="false">IF(ISNUMBER(R52),"Completed",IF(ISNUMBER(Q52),"In Progress","Not Started"))</f>
        <v>Not Started</v>
      </c>
      <c r="U52" s="41"/>
    </row>
    <row r="53" customFormat="false" ht="15" hidden="false" customHeight="false" outlineLevel="2" collapsed="false">
      <c r="A53" s="33" t="s">
        <v>258</v>
      </c>
      <c r="B53" s="33" t="s">
        <v>259</v>
      </c>
      <c r="C53" s="34" t="s">
        <v>111</v>
      </c>
      <c r="D53" s="33" t="s">
        <v>241</v>
      </c>
      <c r="E53" s="33" t="s">
        <v>243</v>
      </c>
      <c r="F53" s="33" t="s">
        <v>260</v>
      </c>
      <c r="G53" s="33" t="s">
        <v>113</v>
      </c>
      <c r="H53" s="34" t="s">
        <v>159</v>
      </c>
      <c r="I53" s="33" t="s">
        <v>160</v>
      </c>
      <c r="J53" s="35" t="n">
        <v>360</v>
      </c>
      <c r="K53" s="33" t="s">
        <v>172</v>
      </c>
      <c r="L53" s="36" t="n">
        <v>5</v>
      </c>
      <c r="M53" s="37" t="s">
        <v>261</v>
      </c>
      <c r="N53" s="38" t="n">
        <f aca="false">IF($L53=0,O52,WORKDAY.INTL(O52,1,11))</f>
        <v>46729</v>
      </c>
      <c r="O53" s="38" t="n">
        <f aca="false">IF(L53=0,N53,WORKDAY.INTL(N53,L53-1,11))</f>
        <v>46734</v>
      </c>
      <c r="P53" s="34" t="s">
        <v>116</v>
      </c>
      <c r="Q53" s="39"/>
      <c r="R53" s="39"/>
      <c r="S53" s="40"/>
      <c r="T53" s="33" t="str">
        <f aca="false">IF(ISNUMBER(R53),"Completed",IF(ISNUMBER(Q53),"In Progress","Not Started"))</f>
        <v>Not Started</v>
      </c>
      <c r="U53" s="41"/>
    </row>
    <row r="54" customFormat="false" ht="15" hidden="false" customHeight="false" outlineLevel="2" collapsed="false">
      <c r="A54" s="33" t="s">
        <v>262</v>
      </c>
      <c r="B54" s="33" t="s">
        <v>263</v>
      </c>
      <c r="C54" s="34" t="s">
        <v>111</v>
      </c>
      <c r="D54" s="33" t="s">
        <v>241</v>
      </c>
      <c r="E54" s="33" t="s">
        <v>243</v>
      </c>
      <c r="F54" s="33" t="s">
        <v>264</v>
      </c>
      <c r="G54" s="33" t="s">
        <v>113</v>
      </c>
      <c r="H54" s="34" t="s">
        <v>159</v>
      </c>
      <c r="I54" s="33" t="s">
        <v>160</v>
      </c>
      <c r="J54" s="35" t="n">
        <v>1400</v>
      </c>
      <c r="K54" s="33" t="s">
        <v>172</v>
      </c>
      <c r="L54" s="36" t="n">
        <v>4</v>
      </c>
      <c r="M54" s="37" t="s">
        <v>265</v>
      </c>
      <c r="N54" s="38" t="n">
        <f aca="false">IF($L54=0,O53,WORKDAY.INTL(O53,1,11))</f>
        <v>46735</v>
      </c>
      <c r="O54" s="38" t="n">
        <f aca="false">IF(L54=0,N54,WORKDAY.INTL(N54,L54-1,11))</f>
        <v>46738</v>
      </c>
      <c r="P54" s="34" t="s">
        <v>116</v>
      </c>
      <c r="Q54" s="39"/>
      <c r="R54" s="39"/>
      <c r="S54" s="40"/>
      <c r="T54" s="33" t="str">
        <f aca="false">IF(ISNUMBER(R54),"Completed",IF(ISNUMBER(Q54),"In Progress","Not Started"))</f>
        <v>Not Started</v>
      </c>
      <c r="U54" s="41"/>
    </row>
    <row r="55" customFormat="false" ht="15" hidden="false" customHeight="false" outlineLevel="1" collapsed="false">
      <c r="A55" s="27" t="s">
        <v>266</v>
      </c>
      <c r="B55" s="27" t="s">
        <v>267</v>
      </c>
      <c r="C55" s="28" t="s">
        <v>107</v>
      </c>
      <c r="D55" s="27" t="s">
        <v>241</v>
      </c>
      <c r="E55" s="27" t="s">
        <v>239</v>
      </c>
      <c r="F55" s="27" t="s">
        <v>268</v>
      </c>
      <c r="G55" s="27" t="s">
        <v>102</v>
      </c>
      <c r="H55" s="28" t="s">
        <v>159</v>
      </c>
      <c r="I55" s="27" t="s">
        <v>160</v>
      </c>
      <c r="J55" s="29"/>
      <c r="K55" s="29"/>
      <c r="L55" s="30" t="n">
        <f aca="false">NETWORKDAYS.INTL(N55,O55,11)</f>
        <v>40</v>
      </c>
      <c r="M55" s="29"/>
      <c r="N55" s="31" t="n">
        <f aca="false">MIN(N56:N61)</f>
        <v>46709</v>
      </c>
      <c r="O55" s="31" t="n">
        <f aca="false">MAX(O56:O61)</f>
        <v>46755</v>
      </c>
      <c r="P55" s="28" t="s">
        <v>96</v>
      </c>
      <c r="Q55" s="31" t="str">
        <f aca="false">IF(COUNT(Q56:Q61)=0,"",MIN(Q56:Q61))</f>
        <v/>
      </c>
      <c r="R55" s="31" t="str">
        <f aca="false">IF(COUNTIFS(P56:P61,"Y")=COUNTIFS(P56:P61,"Y",R56:R61,"&gt;0"),MAX(R56:R61),"")</f>
        <v/>
      </c>
      <c r="S55" s="32" t="n">
        <f aca="false">IFERROR(SUMPRODUCT((P56:P61="Y")*L56:L61*S56:S61)/SUMIFS(L56:L61,P56:P61,"Y"),0)</f>
        <v>0</v>
      </c>
      <c r="T55" s="27" t="str">
        <f aca="false">IF(ISNUMBER(R55),"Completed",IF(ISNUMBER(Q55),"In Progress","Not Started"))</f>
        <v>Not Started</v>
      </c>
      <c r="U55" s="29"/>
    </row>
    <row r="56" customFormat="false" ht="15" hidden="false" customHeight="false" outlineLevel="2" collapsed="false">
      <c r="A56" s="33" t="s">
        <v>269</v>
      </c>
      <c r="B56" s="33" t="s">
        <v>270</v>
      </c>
      <c r="C56" s="34" t="s">
        <v>111</v>
      </c>
      <c r="D56" s="33" t="s">
        <v>241</v>
      </c>
      <c r="E56" s="33" t="s">
        <v>266</v>
      </c>
      <c r="F56" s="33" t="s">
        <v>271</v>
      </c>
      <c r="G56" s="33" t="s">
        <v>113</v>
      </c>
      <c r="H56" s="34" t="s">
        <v>159</v>
      </c>
      <c r="I56" s="33" t="s">
        <v>160</v>
      </c>
      <c r="J56" s="35" t="n">
        <v>1500</v>
      </c>
      <c r="K56" s="33" t="s">
        <v>172</v>
      </c>
      <c r="L56" s="36" t="n">
        <v>8</v>
      </c>
      <c r="M56" s="37" t="s">
        <v>208</v>
      </c>
      <c r="N56" s="38" t="n">
        <f aca="false">IF($L56=0,O30,WORKDAY.INTL(O30,1,11))</f>
        <v>46709</v>
      </c>
      <c r="O56" s="38" t="n">
        <f aca="false">IF(L56=0,N56,WORKDAY.INTL(N56,L56-1,11))</f>
        <v>46717</v>
      </c>
      <c r="P56" s="34" t="s">
        <v>116</v>
      </c>
      <c r="Q56" s="39"/>
      <c r="R56" s="39"/>
      <c r="S56" s="40"/>
      <c r="T56" s="33" t="str">
        <f aca="false">IF(ISNUMBER(R56),"Completed",IF(ISNUMBER(Q56),"In Progress","Not Started"))</f>
        <v>Not Started</v>
      </c>
      <c r="U56" s="41"/>
    </row>
    <row r="57" customFormat="false" ht="15" hidden="false" customHeight="false" outlineLevel="2" collapsed="false">
      <c r="A57" s="33" t="s">
        <v>272</v>
      </c>
      <c r="B57" s="33" t="s">
        <v>273</v>
      </c>
      <c r="C57" s="34" t="s">
        <v>111</v>
      </c>
      <c r="D57" s="33" t="s">
        <v>241</v>
      </c>
      <c r="E57" s="33" t="s">
        <v>266</v>
      </c>
      <c r="F57" s="33" t="s">
        <v>274</v>
      </c>
      <c r="G57" s="33" t="s">
        <v>113</v>
      </c>
      <c r="H57" s="34" t="s">
        <v>159</v>
      </c>
      <c r="I57" s="33" t="s">
        <v>160</v>
      </c>
      <c r="J57" s="35" t="n">
        <v>45</v>
      </c>
      <c r="K57" s="33" t="s">
        <v>256</v>
      </c>
      <c r="L57" s="36" t="n">
        <v>6</v>
      </c>
      <c r="M57" s="37" t="s">
        <v>275</v>
      </c>
      <c r="N57" s="38" t="n">
        <f aca="false">IF($L57=0,O56,WORKDAY.INTL(O56,1,11))</f>
        <v>46718</v>
      </c>
      <c r="O57" s="38" t="n">
        <f aca="false">IF(L57=0,N57,WORKDAY.INTL(N57,L57-1,11))</f>
        <v>46724</v>
      </c>
      <c r="P57" s="34" t="s">
        <v>116</v>
      </c>
      <c r="Q57" s="39"/>
      <c r="R57" s="39"/>
      <c r="S57" s="40"/>
      <c r="T57" s="33" t="str">
        <f aca="false">IF(ISNUMBER(R57),"Completed",IF(ISNUMBER(Q57),"In Progress","Not Started"))</f>
        <v>Not Started</v>
      </c>
      <c r="U57" s="41"/>
    </row>
    <row r="58" customFormat="false" ht="15" hidden="false" customHeight="false" outlineLevel="2" collapsed="false">
      <c r="A58" s="33" t="s">
        <v>276</v>
      </c>
      <c r="B58" s="33" t="s">
        <v>277</v>
      </c>
      <c r="C58" s="34" t="s">
        <v>111</v>
      </c>
      <c r="D58" s="33" t="s">
        <v>241</v>
      </c>
      <c r="E58" s="33" t="s">
        <v>266</v>
      </c>
      <c r="F58" s="33" t="s">
        <v>278</v>
      </c>
      <c r="G58" s="33" t="s">
        <v>113</v>
      </c>
      <c r="H58" s="34" t="s">
        <v>159</v>
      </c>
      <c r="I58" s="33" t="s">
        <v>160</v>
      </c>
      <c r="J58" s="35" t="n">
        <v>280</v>
      </c>
      <c r="K58" s="33" t="s">
        <v>172</v>
      </c>
      <c r="L58" s="36" t="n">
        <v>4</v>
      </c>
      <c r="M58" s="37" t="s">
        <v>279</v>
      </c>
      <c r="N58" s="38" t="n">
        <f aca="false">IF($L58=0,O57,WORKDAY.INTL(O57,1,11))</f>
        <v>46725</v>
      </c>
      <c r="O58" s="38" t="n">
        <f aca="false">IF(L58=0,N58,WORKDAY.INTL(N58,L58-1,11))</f>
        <v>46729</v>
      </c>
      <c r="P58" s="34" t="s">
        <v>116</v>
      </c>
      <c r="Q58" s="39"/>
      <c r="R58" s="39"/>
      <c r="S58" s="40"/>
      <c r="T58" s="33" t="str">
        <f aca="false">IF(ISNUMBER(R58),"Completed",IF(ISNUMBER(Q58),"In Progress","Not Started"))</f>
        <v>Not Started</v>
      </c>
      <c r="U58" s="41"/>
    </row>
    <row r="59" customFormat="false" ht="15" hidden="false" customHeight="false" outlineLevel="2" collapsed="false">
      <c r="A59" s="33" t="s">
        <v>280</v>
      </c>
      <c r="B59" s="33" t="s">
        <v>281</v>
      </c>
      <c r="C59" s="34" t="s">
        <v>111</v>
      </c>
      <c r="D59" s="33" t="s">
        <v>241</v>
      </c>
      <c r="E59" s="33" t="s">
        <v>266</v>
      </c>
      <c r="F59" s="33" t="s">
        <v>282</v>
      </c>
      <c r="G59" s="33" t="s">
        <v>113</v>
      </c>
      <c r="H59" s="34" t="s">
        <v>159</v>
      </c>
      <c r="I59" s="33" t="s">
        <v>160</v>
      </c>
      <c r="J59" s="35" t="n">
        <v>60</v>
      </c>
      <c r="K59" s="33" t="s">
        <v>256</v>
      </c>
      <c r="L59" s="36" t="n">
        <v>10</v>
      </c>
      <c r="M59" s="37" t="s">
        <v>283</v>
      </c>
      <c r="N59" s="38" t="n">
        <f aca="false">IF($L59=0,O58,WORKDAY.INTL(O58,1,11))</f>
        <v>46730</v>
      </c>
      <c r="O59" s="38" t="n">
        <f aca="false">IF(L59=0,N59,WORKDAY.INTL(N59,L59-1,11))</f>
        <v>46741</v>
      </c>
      <c r="P59" s="34" t="s">
        <v>116</v>
      </c>
      <c r="Q59" s="39"/>
      <c r="R59" s="39"/>
      <c r="S59" s="40"/>
      <c r="T59" s="33" t="str">
        <f aca="false">IF(ISNUMBER(R59),"Completed",IF(ISNUMBER(Q59),"In Progress","Not Started"))</f>
        <v>Not Started</v>
      </c>
      <c r="U59" s="41"/>
    </row>
    <row r="60" customFormat="false" ht="15" hidden="false" customHeight="false" outlineLevel="2" collapsed="false">
      <c r="A60" s="33" t="s">
        <v>284</v>
      </c>
      <c r="B60" s="33" t="s">
        <v>285</v>
      </c>
      <c r="C60" s="34" t="s">
        <v>111</v>
      </c>
      <c r="D60" s="33" t="s">
        <v>241</v>
      </c>
      <c r="E60" s="33" t="s">
        <v>266</v>
      </c>
      <c r="F60" s="33" t="s">
        <v>286</v>
      </c>
      <c r="G60" s="33" t="s">
        <v>113</v>
      </c>
      <c r="H60" s="34" t="s">
        <v>159</v>
      </c>
      <c r="I60" s="33" t="s">
        <v>160</v>
      </c>
      <c r="J60" s="35" t="n">
        <v>320</v>
      </c>
      <c r="K60" s="33" t="s">
        <v>172</v>
      </c>
      <c r="L60" s="36" t="n">
        <v>5</v>
      </c>
      <c r="M60" s="37" t="s">
        <v>287</v>
      </c>
      <c r="N60" s="38" t="n">
        <f aca="false">IF($L60=0,O59,WORKDAY.INTL(O59,1,11))</f>
        <v>46742</v>
      </c>
      <c r="O60" s="38" t="n">
        <f aca="false">IF(L60=0,N60,WORKDAY.INTL(N60,L60-1,11))</f>
        <v>46746</v>
      </c>
      <c r="P60" s="34" t="s">
        <v>116</v>
      </c>
      <c r="Q60" s="39"/>
      <c r="R60" s="39"/>
      <c r="S60" s="40"/>
      <c r="T60" s="33" t="str">
        <f aca="false">IF(ISNUMBER(R60),"Completed",IF(ISNUMBER(Q60),"In Progress","Not Started"))</f>
        <v>Not Started</v>
      </c>
      <c r="U60" s="41"/>
    </row>
    <row r="61" customFormat="false" ht="15" hidden="false" customHeight="false" outlineLevel="2" collapsed="false">
      <c r="A61" s="33" t="s">
        <v>288</v>
      </c>
      <c r="B61" s="33" t="s">
        <v>289</v>
      </c>
      <c r="C61" s="34" t="s">
        <v>111</v>
      </c>
      <c r="D61" s="33" t="s">
        <v>241</v>
      </c>
      <c r="E61" s="33" t="s">
        <v>266</v>
      </c>
      <c r="F61" s="33" t="s">
        <v>290</v>
      </c>
      <c r="G61" s="33" t="s">
        <v>113</v>
      </c>
      <c r="H61" s="34" t="s">
        <v>159</v>
      </c>
      <c r="I61" s="33" t="s">
        <v>160</v>
      </c>
      <c r="J61" s="35" t="n">
        <v>1400</v>
      </c>
      <c r="K61" s="33" t="s">
        <v>167</v>
      </c>
      <c r="L61" s="36" t="n">
        <v>7</v>
      </c>
      <c r="M61" s="37" t="s">
        <v>291</v>
      </c>
      <c r="N61" s="38" t="n">
        <f aca="false">IF($L61=0,O60,WORKDAY.INTL(O60,1,11))</f>
        <v>46748</v>
      </c>
      <c r="O61" s="38" t="n">
        <f aca="false">IF(L61=0,N61,WORKDAY.INTL(N61,L61-1,11))</f>
        <v>46755</v>
      </c>
      <c r="P61" s="34" t="s">
        <v>116</v>
      </c>
      <c r="Q61" s="39"/>
      <c r="R61" s="39"/>
      <c r="S61" s="40"/>
      <c r="T61" s="33" t="str">
        <f aca="false">IF(ISNUMBER(R61),"Completed",IF(ISNUMBER(Q61),"In Progress","Not Started"))</f>
        <v>Not Started</v>
      </c>
      <c r="U61" s="41"/>
    </row>
    <row r="62" customFormat="false" ht="15" hidden="false" customHeight="false" outlineLevel="1" collapsed="false">
      <c r="A62" s="27" t="s">
        <v>292</v>
      </c>
      <c r="B62" s="27" t="s">
        <v>293</v>
      </c>
      <c r="C62" s="28" t="s">
        <v>107</v>
      </c>
      <c r="D62" s="27" t="s">
        <v>241</v>
      </c>
      <c r="E62" s="27" t="s">
        <v>239</v>
      </c>
      <c r="F62" s="27" t="s">
        <v>294</v>
      </c>
      <c r="G62" s="27" t="s">
        <v>102</v>
      </c>
      <c r="H62" s="28" t="s">
        <v>159</v>
      </c>
      <c r="I62" s="27" t="s">
        <v>160</v>
      </c>
      <c r="J62" s="29"/>
      <c r="K62" s="29"/>
      <c r="L62" s="30" t="n">
        <f aca="false">NETWORKDAYS.INTL(N62,O62,11)</f>
        <v>24</v>
      </c>
      <c r="M62" s="29"/>
      <c r="N62" s="31" t="n">
        <f aca="false">MIN(N63:N66)</f>
        <v>46739</v>
      </c>
      <c r="O62" s="31" t="n">
        <f aca="false">MAX(O63:O66)</f>
        <v>46766</v>
      </c>
      <c r="P62" s="28" t="s">
        <v>96</v>
      </c>
      <c r="Q62" s="31" t="str">
        <f aca="false">IF(COUNT(Q63:Q66)=0,"",MIN(Q63:Q66))</f>
        <v/>
      </c>
      <c r="R62" s="31" t="str">
        <f aca="false">IF(COUNTIFS(P63:P66,"Y")=COUNTIFS(P63:P66,"Y",R63:R66,"&gt;0"),MAX(R63:R66),"")</f>
        <v/>
      </c>
      <c r="S62" s="32" t="n">
        <f aca="false">IFERROR(SUMPRODUCT((P63:P66="Y")*L63:L66*S63:S66)/SUMIFS(L63:L66,P63:P66,"Y"),0)</f>
        <v>0</v>
      </c>
      <c r="T62" s="27" t="str">
        <f aca="false">IF(ISNUMBER(R62),"Completed",IF(ISNUMBER(Q62),"In Progress","Not Started"))</f>
        <v>Not Started</v>
      </c>
      <c r="U62" s="29"/>
    </row>
    <row r="63" customFormat="false" ht="15" hidden="false" customHeight="false" outlineLevel="2" collapsed="false">
      <c r="A63" s="33" t="s">
        <v>295</v>
      </c>
      <c r="B63" s="33" t="s">
        <v>296</v>
      </c>
      <c r="C63" s="34" t="s">
        <v>111</v>
      </c>
      <c r="D63" s="33" t="s">
        <v>241</v>
      </c>
      <c r="E63" s="33" t="s">
        <v>292</v>
      </c>
      <c r="F63" s="33" t="s">
        <v>297</v>
      </c>
      <c r="G63" s="33" t="s">
        <v>113</v>
      </c>
      <c r="H63" s="34" t="s">
        <v>159</v>
      </c>
      <c r="I63" s="33" t="s">
        <v>160</v>
      </c>
      <c r="J63" s="35" t="n">
        <v>42</v>
      </c>
      <c r="K63" s="33" t="s">
        <v>256</v>
      </c>
      <c r="L63" s="36" t="n">
        <v>10</v>
      </c>
      <c r="M63" s="37" t="s">
        <v>298</v>
      </c>
      <c r="N63" s="38" t="n">
        <f aca="false">IF($L63=0,O54,WORKDAY.INTL(O54,1,11))</f>
        <v>46739</v>
      </c>
      <c r="O63" s="38" t="n">
        <f aca="false">IF(L63=0,N63,WORKDAY.INTL(N63,L63-1,11))</f>
        <v>46750</v>
      </c>
      <c r="P63" s="34" t="s">
        <v>116</v>
      </c>
      <c r="Q63" s="39"/>
      <c r="R63" s="39"/>
      <c r="S63" s="40"/>
      <c r="T63" s="33" t="str">
        <f aca="false">IF(ISNUMBER(R63),"Completed",IF(ISNUMBER(Q63),"In Progress","Not Started"))</f>
        <v>Not Started</v>
      </c>
      <c r="U63" s="41"/>
    </row>
    <row r="64" customFormat="false" ht="15" hidden="false" customHeight="false" outlineLevel="2" collapsed="false">
      <c r="A64" s="33" t="s">
        <v>299</v>
      </c>
      <c r="B64" s="33" t="s">
        <v>300</v>
      </c>
      <c r="C64" s="34" t="s">
        <v>111</v>
      </c>
      <c r="D64" s="33" t="s">
        <v>241</v>
      </c>
      <c r="E64" s="33" t="s">
        <v>292</v>
      </c>
      <c r="F64" s="33" t="s">
        <v>301</v>
      </c>
      <c r="G64" s="33" t="s">
        <v>113</v>
      </c>
      <c r="H64" s="34" t="s">
        <v>159</v>
      </c>
      <c r="I64" s="33" t="s">
        <v>160</v>
      </c>
      <c r="J64" s="35" t="n">
        <v>180</v>
      </c>
      <c r="K64" s="33" t="s">
        <v>172</v>
      </c>
      <c r="L64" s="36" t="n">
        <v>4</v>
      </c>
      <c r="M64" s="37" t="s">
        <v>302</v>
      </c>
      <c r="N64" s="38" t="n">
        <f aca="false">IF($L64=0,O63,WORKDAY.INTL(O63,1,11))</f>
        <v>46751</v>
      </c>
      <c r="O64" s="38" t="n">
        <f aca="false">IF(L64=0,N64,WORKDAY.INTL(N64,L64-1,11))</f>
        <v>46755</v>
      </c>
      <c r="P64" s="34" t="s">
        <v>116</v>
      </c>
      <c r="Q64" s="39"/>
      <c r="R64" s="39"/>
      <c r="S64" s="40"/>
      <c r="T64" s="33" t="str">
        <f aca="false">IF(ISNUMBER(R64),"Completed",IF(ISNUMBER(Q64),"In Progress","Not Started"))</f>
        <v>Not Started</v>
      </c>
      <c r="U64" s="41"/>
    </row>
    <row r="65" customFormat="false" ht="15" hidden="false" customHeight="false" outlineLevel="2" collapsed="false">
      <c r="A65" s="33" t="s">
        <v>303</v>
      </c>
      <c r="B65" s="33" t="s">
        <v>304</v>
      </c>
      <c r="C65" s="34" t="s">
        <v>111</v>
      </c>
      <c r="D65" s="33" t="s">
        <v>241</v>
      </c>
      <c r="E65" s="33" t="s">
        <v>292</v>
      </c>
      <c r="F65" s="33" t="s">
        <v>305</v>
      </c>
      <c r="G65" s="33" t="s">
        <v>113</v>
      </c>
      <c r="H65" s="34" t="s">
        <v>159</v>
      </c>
      <c r="I65" s="33" t="s">
        <v>160</v>
      </c>
      <c r="J65" s="35" t="n">
        <v>420</v>
      </c>
      <c r="K65" s="33" t="s">
        <v>172</v>
      </c>
      <c r="L65" s="36" t="n">
        <v>10</v>
      </c>
      <c r="M65" s="37" t="s">
        <v>306</v>
      </c>
      <c r="N65" s="38" t="n">
        <f aca="false">MAX(IF($L65=0,O64,WORKDAY.INTL(O64,1,11)),IF($L65=0,O60,WORKDAY.INTL(O60,1,11)))</f>
        <v>46756</v>
      </c>
      <c r="O65" s="38" t="n">
        <f aca="false">IF(L65=0,N65,WORKDAY.INTL(N65,L65-1,11))</f>
        <v>46766</v>
      </c>
      <c r="P65" s="34" t="s">
        <v>116</v>
      </c>
      <c r="Q65" s="39"/>
      <c r="R65" s="39"/>
      <c r="S65" s="40"/>
      <c r="T65" s="33" t="str">
        <f aca="false">IF(ISNUMBER(R65),"Completed",IF(ISNUMBER(Q65),"In Progress","Not Started"))</f>
        <v>Not Started</v>
      </c>
      <c r="U65" s="41"/>
    </row>
    <row r="66" customFormat="false" ht="15" hidden="false" customHeight="false" outlineLevel="2" collapsed="false">
      <c r="A66" s="33" t="s">
        <v>307</v>
      </c>
      <c r="B66" s="33" t="s">
        <v>308</v>
      </c>
      <c r="C66" s="34" t="s">
        <v>111</v>
      </c>
      <c r="D66" s="33" t="s">
        <v>241</v>
      </c>
      <c r="E66" s="33" t="s">
        <v>292</v>
      </c>
      <c r="F66" s="33" t="s">
        <v>309</v>
      </c>
      <c r="G66" s="33" t="s">
        <v>113</v>
      </c>
      <c r="H66" s="34" t="s">
        <v>159</v>
      </c>
      <c r="I66" s="33" t="s">
        <v>160</v>
      </c>
      <c r="J66" s="35" t="n">
        <v>260</v>
      </c>
      <c r="K66" s="33" t="s">
        <v>172</v>
      </c>
      <c r="L66" s="36" t="n">
        <v>8</v>
      </c>
      <c r="M66" s="37" t="s">
        <v>291</v>
      </c>
      <c r="N66" s="38" t="n">
        <f aca="false">IF($L66=0,O60,WORKDAY.INTL(O60,1,11))</f>
        <v>46748</v>
      </c>
      <c r="O66" s="38" t="n">
        <f aca="false">IF(L66=0,N66,WORKDAY.INTL(N66,L66-1,11))</f>
        <v>46756</v>
      </c>
      <c r="P66" s="34" t="s">
        <v>116</v>
      </c>
      <c r="Q66" s="39"/>
      <c r="R66" s="39"/>
      <c r="S66" s="40"/>
      <c r="T66" s="33" t="str">
        <f aca="false">IF(ISNUMBER(R66),"Completed",IF(ISNUMBER(Q66),"In Progress","Not Started"))</f>
        <v>Not Started</v>
      </c>
      <c r="U66" s="41"/>
    </row>
    <row r="67" customFormat="false" ht="15" hidden="false" customHeight="false" outlineLevel="0" collapsed="false">
      <c r="A67" s="21" t="s">
        <v>310</v>
      </c>
      <c r="B67" s="21" t="s">
        <v>311</v>
      </c>
      <c r="C67" s="22" t="s">
        <v>99</v>
      </c>
      <c r="D67" s="21" t="s">
        <v>241</v>
      </c>
      <c r="E67" s="21" t="s">
        <v>241</v>
      </c>
      <c r="F67" s="21" t="s">
        <v>312</v>
      </c>
      <c r="G67" s="21" t="s">
        <v>102</v>
      </c>
      <c r="H67" s="22" t="s">
        <v>159</v>
      </c>
      <c r="I67" s="21" t="s">
        <v>160</v>
      </c>
      <c r="J67" s="23"/>
      <c r="K67" s="23"/>
      <c r="L67" s="24" t="n">
        <f aca="false">NETWORKDAYS.INTL(N67,O67,11)</f>
        <v>70</v>
      </c>
      <c r="M67" s="23"/>
      <c r="N67" s="25" t="n">
        <f aca="false">MIN(N68:N83)</f>
        <v>46709</v>
      </c>
      <c r="O67" s="25" t="n">
        <f aca="false">MAX(O68:O83)</f>
        <v>46790</v>
      </c>
      <c r="P67" s="22" t="s">
        <v>96</v>
      </c>
      <c r="Q67" s="25" t="str">
        <f aca="false">IF(COUNT(Q68:Q83)=0,"",MIN(Q68:Q83))</f>
        <v/>
      </c>
      <c r="R67" s="25" t="str">
        <f aca="false">IF(COUNTIFS(P68:P83,"Y")=COUNTIFS(P68:P83,"Y",R68:R83,"&gt;0"),MAX(R68:R83),"")</f>
        <v/>
      </c>
      <c r="S67" s="26" t="n">
        <f aca="false">IFERROR(SUMPRODUCT((P68:P83="Y")*L68:L83*S68:S83)/SUMIFS(L68:L83,P68:P83,"Y"),0)</f>
        <v>0</v>
      </c>
      <c r="T67" s="21" t="str">
        <f aca="false">IF(ISNUMBER(R67),"Completed",IF(ISNUMBER(Q67),"In Progress","Not Started"))</f>
        <v>Not Started</v>
      </c>
      <c r="U67" s="23"/>
    </row>
    <row r="68" customFormat="false" ht="15" hidden="false" customHeight="false" outlineLevel="1" collapsed="false">
      <c r="A68" s="27" t="s">
        <v>313</v>
      </c>
      <c r="B68" s="27" t="s">
        <v>314</v>
      </c>
      <c r="C68" s="28" t="s">
        <v>107</v>
      </c>
      <c r="D68" s="27" t="s">
        <v>241</v>
      </c>
      <c r="E68" s="27" t="s">
        <v>310</v>
      </c>
      <c r="F68" s="27" t="s">
        <v>245</v>
      </c>
      <c r="G68" s="27" t="s">
        <v>102</v>
      </c>
      <c r="H68" s="28" t="s">
        <v>159</v>
      </c>
      <c r="I68" s="27" t="s">
        <v>160</v>
      </c>
      <c r="J68" s="29"/>
      <c r="K68" s="29"/>
      <c r="L68" s="30" t="n">
        <f aca="false">NETWORKDAYS.INTL(N68,O68,11)</f>
        <v>33</v>
      </c>
      <c r="M68" s="29"/>
      <c r="N68" s="31" t="n">
        <f aca="false">MIN(N69:N73)</f>
        <v>46709</v>
      </c>
      <c r="O68" s="31" t="n">
        <f aca="false">MAX(O69:O73)</f>
        <v>46746</v>
      </c>
      <c r="P68" s="28" t="s">
        <v>96</v>
      </c>
      <c r="Q68" s="31" t="str">
        <f aca="false">IF(COUNT(Q69:Q73)=0,"",MIN(Q69:Q73))</f>
        <v/>
      </c>
      <c r="R68" s="31" t="str">
        <f aca="false">IF(COUNTIFS(P69:P73,"Y")=COUNTIFS(P69:P73,"Y",R69:R73,"&gt;0"),MAX(R69:R73),"")</f>
        <v/>
      </c>
      <c r="S68" s="32" t="n">
        <f aca="false">IFERROR(SUMPRODUCT((P69:P73="Y")*L69:L73*S69:S73)/SUMIFS(L69:L73,P69:P73,"Y"),0)</f>
        <v>0</v>
      </c>
      <c r="T68" s="27" t="str">
        <f aca="false">IF(ISNUMBER(R68),"Completed",IF(ISNUMBER(Q68),"In Progress","Not Started"))</f>
        <v>Not Started</v>
      </c>
      <c r="U68" s="29"/>
    </row>
    <row r="69" customFormat="false" ht="15" hidden="false" customHeight="false" outlineLevel="2" collapsed="false">
      <c r="A69" s="33" t="s">
        <v>315</v>
      </c>
      <c r="B69" s="33" t="s">
        <v>316</v>
      </c>
      <c r="C69" s="34" t="s">
        <v>111</v>
      </c>
      <c r="D69" s="33" t="s">
        <v>241</v>
      </c>
      <c r="E69" s="33" t="s">
        <v>313</v>
      </c>
      <c r="F69" s="33" t="s">
        <v>248</v>
      </c>
      <c r="G69" s="33" t="s">
        <v>113</v>
      </c>
      <c r="H69" s="34" t="s">
        <v>159</v>
      </c>
      <c r="I69" s="33" t="s">
        <v>160</v>
      </c>
      <c r="J69" s="35" t="n">
        <v>3100</v>
      </c>
      <c r="K69" s="33" t="s">
        <v>172</v>
      </c>
      <c r="L69" s="36" t="n">
        <v>8</v>
      </c>
      <c r="M69" s="37" t="s">
        <v>208</v>
      </c>
      <c r="N69" s="38" t="n">
        <f aca="false">IF($L69=0,O30,WORKDAY.INTL(O30,1,11))</f>
        <v>46709</v>
      </c>
      <c r="O69" s="38" t="n">
        <f aca="false">IF(L69=0,N69,WORKDAY.INTL(N69,L69-1,11))</f>
        <v>46717</v>
      </c>
      <c r="P69" s="34" t="s">
        <v>116</v>
      </c>
      <c r="Q69" s="39"/>
      <c r="R69" s="39"/>
      <c r="S69" s="40"/>
      <c r="T69" s="33" t="str">
        <f aca="false">IF(ISNUMBER(R69),"Completed",IF(ISNUMBER(Q69),"In Progress","Not Started"))</f>
        <v>Not Started</v>
      </c>
      <c r="U69" s="41"/>
    </row>
    <row r="70" customFormat="false" ht="15" hidden="false" customHeight="false" outlineLevel="2" collapsed="false">
      <c r="A70" s="33" t="s">
        <v>317</v>
      </c>
      <c r="B70" s="33" t="s">
        <v>318</v>
      </c>
      <c r="C70" s="34" t="s">
        <v>111</v>
      </c>
      <c r="D70" s="33" t="s">
        <v>241</v>
      </c>
      <c r="E70" s="33" t="s">
        <v>313</v>
      </c>
      <c r="F70" s="33" t="s">
        <v>251</v>
      </c>
      <c r="G70" s="33" t="s">
        <v>113</v>
      </c>
      <c r="H70" s="34" t="s">
        <v>159</v>
      </c>
      <c r="I70" s="33" t="s">
        <v>160</v>
      </c>
      <c r="J70" s="35" t="n">
        <v>150</v>
      </c>
      <c r="K70" s="33" t="s">
        <v>172</v>
      </c>
      <c r="L70" s="36" t="n">
        <v>4</v>
      </c>
      <c r="M70" s="37" t="s">
        <v>319</v>
      </c>
      <c r="N70" s="38" t="n">
        <f aca="false">IF($L70=0,O69,WORKDAY.INTL(O69,1,11))</f>
        <v>46718</v>
      </c>
      <c r="O70" s="38" t="n">
        <f aca="false">IF(L70=0,N70,WORKDAY.INTL(N70,L70-1,11))</f>
        <v>46722</v>
      </c>
      <c r="P70" s="34" t="s">
        <v>116</v>
      </c>
      <c r="Q70" s="39"/>
      <c r="R70" s="39"/>
      <c r="S70" s="40"/>
      <c r="T70" s="33" t="str">
        <f aca="false">IF(ISNUMBER(R70),"Completed",IF(ISNUMBER(Q70),"In Progress","Not Started"))</f>
        <v>Not Started</v>
      </c>
      <c r="U70" s="41"/>
    </row>
    <row r="71" customFormat="false" ht="15" hidden="false" customHeight="false" outlineLevel="2" collapsed="false">
      <c r="A71" s="33" t="s">
        <v>320</v>
      </c>
      <c r="B71" s="33" t="s">
        <v>321</v>
      </c>
      <c r="C71" s="34" t="s">
        <v>111</v>
      </c>
      <c r="D71" s="33" t="s">
        <v>241</v>
      </c>
      <c r="E71" s="33" t="s">
        <v>313</v>
      </c>
      <c r="F71" s="33" t="s">
        <v>255</v>
      </c>
      <c r="G71" s="33" t="s">
        <v>113</v>
      </c>
      <c r="H71" s="34" t="s">
        <v>159</v>
      </c>
      <c r="I71" s="33" t="s">
        <v>160</v>
      </c>
      <c r="J71" s="35" t="n">
        <v>55</v>
      </c>
      <c r="K71" s="33" t="s">
        <v>256</v>
      </c>
      <c r="L71" s="36" t="n">
        <v>10</v>
      </c>
      <c r="M71" s="37" t="s">
        <v>322</v>
      </c>
      <c r="N71" s="38" t="n">
        <f aca="false">IF($L71=0,O70,WORKDAY.INTL(O70,1,11))</f>
        <v>46723</v>
      </c>
      <c r="O71" s="38" t="n">
        <f aca="false">IF(L71=0,N71,WORKDAY.INTL(N71,L71-1,11))</f>
        <v>46734</v>
      </c>
      <c r="P71" s="34" t="s">
        <v>116</v>
      </c>
      <c r="Q71" s="39"/>
      <c r="R71" s="39"/>
      <c r="S71" s="40"/>
      <c r="T71" s="33" t="str">
        <f aca="false">IF(ISNUMBER(R71),"Completed",IF(ISNUMBER(Q71),"In Progress","Not Started"))</f>
        <v>Not Started</v>
      </c>
      <c r="U71" s="41"/>
    </row>
    <row r="72" customFormat="false" ht="15" hidden="false" customHeight="false" outlineLevel="2" collapsed="false">
      <c r="A72" s="33" t="s">
        <v>323</v>
      </c>
      <c r="B72" s="33" t="s">
        <v>324</v>
      </c>
      <c r="C72" s="34" t="s">
        <v>111</v>
      </c>
      <c r="D72" s="33" t="s">
        <v>241</v>
      </c>
      <c r="E72" s="33" t="s">
        <v>313</v>
      </c>
      <c r="F72" s="33" t="s">
        <v>260</v>
      </c>
      <c r="G72" s="33" t="s">
        <v>113</v>
      </c>
      <c r="H72" s="34" t="s">
        <v>159</v>
      </c>
      <c r="I72" s="33" t="s">
        <v>160</v>
      </c>
      <c r="J72" s="35" t="n">
        <v>520</v>
      </c>
      <c r="K72" s="33" t="s">
        <v>172</v>
      </c>
      <c r="L72" s="36" t="n">
        <v>6</v>
      </c>
      <c r="M72" s="37" t="s">
        <v>325</v>
      </c>
      <c r="N72" s="38" t="n">
        <f aca="false">IF($L72=0,O71,WORKDAY.INTL(O71,1,11))</f>
        <v>46735</v>
      </c>
      <c r="O72" s="38" t="n">
        <f aca="false">IF(L72=0,N72,WORKDAY.INTL(N72,L72-1,11))</f>
        <v>46741</v>
      </c>
      <c r="P72" s="34" t="s">
        <v>116</v>
      </c>
      <c r="Q72" s="39"/>
      <c r="R72" s="39"/>
      <c r="S72" s="40"/>
      <c r="T72" s="33" t="str">
        <f aca="false">IF(ISNUMBER(R72),"Completed",IF(ISNUMBER(Q72),"In Progress","Not Started"))</f>
        <v>Not Started</v>
      </c>
      <c r="U72" s="41"/>
    </row>
    <row r="73" customFormat="false" ht="15" hidden="false" customHeight="false" outlineLevel="2" collapsed="false">
      <c r="A73" s="33" t="s">
        <v>326</v>
      </c>
      <c r="B73" s="33" t="s">
        <v>327</v>
      </c>
      <c r="C73" s="34" t="s">
        <v>111</v>
      </c>
      <c r="D73" s="33" t="s">
        <v>241</v>
      </c>
      <c r="E73" s="33" t="s">
        <v>313</v>
      </c>
      <c r="F73" s="33" t="s">
        <v>264</v>
      </c>
      <c r="G73" s="33" t="s">
        <v>113</v>
      </c>
      <c r="H73" s="34" t="s">
        <v>159</v>
      </c>
      <c r="I73" s="33" t="s">
        <v>160</v>
      </c>
      <c r="J73" s="35" t="n">
        <v>2000</v>
      </c>
      <c r="K73" s="33" t="s">
        <v>172</v>
      </c>
      <c r="L73" s="36" t="n">
        <v>5</v>
      </c>
      <c r="M73" s="37" t="s">
        <v>328</v>
      </c>
      <c r="N73" s="38" t="n">
        <f aca="false">IF($L73=0,O72,WORKDAY.INTL(O72,1,11))</f>
        <v>46742</v>
      </c>
      <c r="O73" s="38" t="n">
        <f aca="false">IF(L73=0,N73,WORKDAY.INTL(N73,L73-1,11))</f>
        <v>46746</v>
      </c>
      <c r="P73" s="34" t="s">
        <v>116</v>
      </c>
      <c r="Q73" s="39"/>
      <c r="R73" s="39"/>
      <c r="S73" s="40"/>
      <c r="T73" s="33" t="str">
        <f aca="false">IF(ISNUMBER(R73),"Completed",IF(ISNUMBER(Q73),"In Progress","Not Started"))</f>
        <v>Not Started</v>
      </c>
      <c r="U73" s="41"/>
    </row>
    <row r="74" customFormat="false" ht="15" hidden="false" customHeight="false" outlineLevel="1" collapsed="false">
      <c r="A74" s="27" t="s">
        <v>329</v>
      </c>
      <c r="B74" s="27" t="s">
        <v>330</v>
      </c>
      <c r="C74" s="28" t="s">
        <v>107</v>
      </c>
      <c r="D74" s="27" t="s">
        <v>241</v>
      </c>
      <c r="E74" s="27" t="s">
        <v>310</v>
      </c>
      <c r="F74" s="27" t="s">
        <v>331</v>
      </c>
      <c r="G74" s="27" t="s">
        <v>102</v>
      </c>
      <c r="H74" s="28" t="s">
        <v>159</v>
      </c>
      <c r="I74" s="27" t="s">
        <v>160</v>
      </c>
      <c r="J74" s="29"/>
      <c r="K74" s="29"/>
      <c r="L74" s="30" t="n">
        <f aca="false">NETWORKDAYS.INTL(N74,O74,11)</f>
        <v>12</v>
      </c>
      <c r="M74" s="29"/>
      <c r="N74" s="31" t="n">
        <f aca="false">MIN(N75:N78)</f>
        <v>46748</v>
      </c>
      <c r="O74" s="31" t="n">
        <f aca="false">MAX(O75:O78)</f>
        <v>46760</v>
      </c>
      <c r="P74" s="28" t="s">
        <v>96</v>
      </c>
      <c r="Q74" s="31" t="str">
        <f aca="false">IF(COUNT(Q75:Q78)=0,"",MIN(Q75:Q78))</f>
        <v/>
      </c>
      <c r="R74" s="31" t="str">
        <f aca="false">IF(COUNTIFS(P75:P78,"Y")=COUNTIFS(P75:P78,"Y",R75:R78,"&gt;0"),MAX(R75:R78),"")</f>
        <v/>
      </c>
      <c r="S74" s="32" t="n">
        <f aca="false">IFERROR(SUMPRODUCT((P75:P78="Y")*L75:L78*S75:S78)/SUMIFS(L75:L78,P75:P78,"Y"),0)</f>
        <v>0</v>
      </c>
      <c r="T74" s="27" t="str">
        <f aca="false">IF(ISNUMBER(R74),"Completed",IF(ISNUMBER(Q74),"In Progress","Not Started"))</f>
        <v>Not Started</v>
      </c>
      <c r="U74" s="29"/>
    </row>
    <row r="75" customFormat="false" ht="15" hidden="false" customHeight="false" outlineLevel="2" collapsed="false">
      <c r="A75" s="33" t="s">
        <v>332</v>
      </c>
      <c r="B75" s="33" t="s">
        <v>333</v>
      </c>
      <c r="C75" s="34" t="s">
        <v>111</v>
      </c>
      <c r="D75" s="33" t="s">
        <v>241</v>
      </c>
      <c r="E75" s="33" t="s">
        <v>329</v>
      </c>
      <c r="F75" s="33" t="s">
        <v>334</v>
      </c>
      <c r="G75" s="33" t="s">
        <v>113</v>
      </c>
      <c r="H75" s="34" t="s">
        <v>159</v>
      </c>
      <c r="I75" s="33" t="s">
        <v>160</v>
      </c>
      <c r="J75" s="35" t="n">
        <v>45</v>
      </c>
      <c r="K75" s="33" t="s">
        <v>172</v>
      </c>
      <c r="L75" s="36" t="n">
        <v>7</v>
      </c>
      <c r="M75" s="37" t="s">
        <v>335</v>
      </c>
      <c r="N75" s="38" t="n">
        <f aca="false">IF($L75=0,O73,WORKDAY.INTL(O73,1,11))</f>
        <v>46748</v>
      </c>
      <c r="O75" s="38" t="n">
        <f aca="false">IF(L75=0,N75,WORKDAY.INTL(N75,L75-1,11))</f>
        <v>46755</v>
      </c>
      <c r="P75" s="34" t="s">
        <v>116</v>
      </c>
      <c r="Q75" s="39"/>
      <c r="R75" s="39"/>
      <c r="S75" s="40"/>
      <c r="T75" s="33" t="str">
        <f aca="false">IF(ISNUMBER(R75),"Completed",IF(ISNUMBER(Q75),"In Progress","Not Started"))</f>
        <v>Not Started</v>
      </c>
      <c r="U75" s="41"/>
    </row>
    <row r="76" customFormat="false" ht="15" hidden="false" customHeight="false" outlineLevel="2" collapsed="false">
      <c r="A76" s="33" t="s">
        <v>336</v>
      </c>
      <c r="B76" s="33" t="s">
        <v>337</v>
      </c>
      <c r="C76" s="34" t="s">
        <v>111</v>
      </c>
      <c r="D76" s="33" t="s">
        <v>241</v>
      </c>
      <c r="E76" s="33" t="s">
        <v>329</v>
      </c>
      <c r="F76" s="33" t="s">
        <v>338</v>
      </c>
      <c r="G76" s="33" t="s">
        <v>113</v>
      </c>
      <c r="H76" s="34" t="s">
        <v>159</v>
      </c>
      <c r="I76" s="33" t="s">
        <v>160</v>
      </c>
      <c r="J76" s="35" t="n">
        <v>60</v>
      </c>
      <c r="K76" s="33" t="s">
        <v>172</v>
      </c>
      <c r="L76" s="36" t="n">
        <v>8</v>
      </c>
      <c r="M76" s="37" t="s">
        <v>335</v>
      </c>
      <c r="N76" s="38" t="n">
        <f aca="false">IF($L76=0,O73,WORKDAY.INTL(O73,1,11))</f>
        <v>46748</v>
      </c>
      <c r="O76" s="38" t="n">
        <f aca="false">IF(L76=0,N76,WORKDAY.INTL(N76,L76-1,11))</f>
        <v>46756</v>
      </c>
      <c r="P76" s="34" t="s">
        <v>116</v>
      </c>
      <c r="Q76" s="39"/>
      <c r="R76" s="39"/>
      <c r="S76" s="40"/>
      <c r="T76" s="33" t="str">
        <f aca="false">IF(ISNUMBER(R76),"Completed",IF(ISNUMBER(Q76),"In Progress","Not Started"))</f>
        <v>Not Started</v>
      </c>
      <c r="U76" s="41"/>
    </row>
    <row r="77" customFormat="false" ht="15" hidden="false" customHeight="false" outlineLevel="2" collapsed="false">
      <c r="A77" s="33" t="s">
        <v>339</v>
      </c>
      <c r="B77" s="33" t="s">
        <v>340</v>
      </c>
      <c r="C77" s="34" t="s">
        <v>111</v>
      </c>
      <c r="D77" s="33" t="s">
        <v>241</v>
      </c>
      <c r="E77" s="33" t="s">
        <v>329</v>
      </c>
      <c r="F77" s="33" t="s">
        <v>341</v>
      </c>
      <c r="G77" s="33" t="s">
        <v>113</v>
      </c>
      <c r="H77" s="34" t="s">
        <v>159</v>
      </c>
      <c r="I77" s="33" t="s">
        <v>160</v>
      </c>
      <c r="J77" s="35" t="n">
        <v>110</v>
      </c>
      <c r="K77" s="33" t="s">
        <v>172</v>
      </c>
      <c r="L77" s="36" t="n">
        <v>9</v>
      </c>
      <c r="M77" s="37" t="s">
        <v>335</v>
      </c>
      <c r="N77" s="38" t="n">
        <f aca="false">IF($L77=0,O73,WORKDAY.INTL(O73,1,11))</f>
        <v>46748</v>
      </c>
      <c r="O77" s="38" t="n">
        <f aca="false">IF(L77=0,N77,WORKDAY.INTL(N77,L77-1,11))</f>
        <v>46757</v>
      </c>
      <c r="P77" s="34" t="s">
        <v>116</v>
      </c>
      <c r="Q77" s="39"/>
      <c r="R77" s="39"/>
      <c r="S77" s="40"/>
      <c r="T77" s="33" t="str">
        <f aca="false">IF(ISNUMBER(R77),"Completed",IF(ISNUMBER(Q77),"In Progress","Not Started"))</f>
        <v>Not Started</v>
      </c>
      <c r="U77" s="41"/>
    </row>
    <row r="78" customFormat="false" ht="23.85" hidden="false" customHeight="false" outlineLevel="2" collapsed="false">
      <c r="A78" s="33" t="s">
        <v>342</v>
      </c>
      <c r="B78" s="33" t="s">
        <v>343</v>
      </c>
      <c r="C78" s="34" t="s">
        <v>111</v>
      </c>
      <c r="D78" s="33" t="s">
        <v>241</v>
      </c>
      <c r="E78" s="33" t="s">
        <v>329</v>
      </c>
      <c r="F78" s="33" t="s">
        <v>344</v>
      </c>
      <c r="G78" s="33" t="s">
        <v>113</v>
      </c>
      <c r="H78" s="34" t="s">
        <v>159</v>
      </c>
      <c r="I78" s="33" t="s">
        <v>160</v>
      </c>
      <c r="J78" s="35" t="n">
        <v>1</v>
      </c>
      <c r="K78" s="33" t="s">
        <v>114</v>
      </c>
      <c r="L78" s="36" t="n">
        <v>3</v>
      </c>
      <c r="M78" s="37" t="s">
        <v>345</v>
      </c>
      <c r="N78" s="38" t="n">
        <f aca="false">MAX(IF($L78=0,O75,WORKDAY.INTL(O75,1,11)),IF($L78=0,O76,WORKDAY.INTL(O76,1,11)),IF($L78=0,O77,WORKDAY.INTL(O77,1,11)))</f>
        <v>46758</v>
      </c>
      <c r="O78" s="38" t="n">
        <f aca="false">IF(L78=0,N78,WORKDAY.INTL(N78,L78-1,11))</f>
        <v>46760</v>
      </c>
      <c r="P78" s="34" t="s">
        <v>116</v>
      </c>
      <c r="Q78" s="39"/>
      <c r="R78" s="39"/>
      <c r="S78" s="40"/>
      <c r="T78" s="33" t="str">
        <f aca="false">IF(ISNUMBER(R78),"Completed",IF(ISNUMBER(Q78),"In Progress","Not Started"))</f>
        <v>Not Started</v>
      </c>
      <c r="U78" s="41"/>
    </row>
    <row r="79" customFormat="false" ht="15" hidden="false" customHeight="false" outlineLevel="1" collapsed="false">
      <c r="A79" s="27" t="s">
        <v>346</v>
      </c>
      <c r="B79" s="27" t="s">
        <v>347</v>
      </c>
      <c r="C79" s="28" t="s">
        <v>107</v>
      </c>
      <c r="D79" s="27" t="s">
        <v>241</v>
      </c>
      <c r="E79" s="27" t="s">
        <v>310</v>
      </c>
      <c r="F79" s="27" t="s">
        <v>294</v>
      </c>
      <c r="G79" s="27" t="s">
        <v>102</v>
      </c>
      <c r="H79" s="28" t="s">
        <v>159</v>
      </c>
      <c r="I79" s="27" t="s">
        <v>160</v>
      </c>
      <c r="J79" s="29"/>
      <c r="K79" s="29"/>
      <c r="L79" s="30" t="n">
        <f aca="false">NETWORKDAYS.INTL(N79,O79,11)</f>
        <v>37</v>
      </c>
      <c r="M79" s="29"/>
      <c r="N79" s="31" t="n">
        <f aca="false">MIN(N80:N83)</f>
        <v>46748</v>
      </c>
      <c r="O79" s="31" t="n">
        <f aca="false">MAX(O80:O83)</f>
        <v>46790</v>
      </c>
      <c r="P79" s="28" t="s">
        <v>96</v>
      </c>
      <c r="Q79" s="31" t="str">
        <f aca="false">IF(COUNT(Q80:Q83)=0,"",MIN(Q80:Q83))</f>
        <v/>
      </c>
      <c r="R79" s="31" t="str">
        <f aca="false">IF(COUNTIFS(P80:P83,"Y")=COUNTIFS(P80:P83,"Y",R80:R83,"&gt;0"),MAX(R80:R83),"")</f>
        <v/>
      </c>
      <c r="S79" s="32" t="n">
        <f aca="false">IFERROR(SUMPRODUCT((P80:P83="Y")*L80:L83*S80:S83)/SUMIFS(L80:L83,P80:P83,"Y"),0)</f>
        <v>0</v>
      </c>
      <c r="T79" s="27" t="str">
        <f aca="false">IF(ISNUMBER(R79),"Completed",IF(ISNUMBER(Q79),"In Progress","Not Started"))</f>
        <v>Not Started</v>
      </c>
      <c r="U79" s="29"/>
    </row>
    <row r="80" customFormat="false" ht="15" hidden="false" customHeight="false" outlineLevel="2" collapsed="false">
      <c r="A80" s="33" t="s">
        <v>348</v>
      </c>
      <c r="B80" s="33" t="s">
        <v>349</v>
      </c>
      <c r="C80" s="34" t="s">
        <v>111</v>
      </c>
      <c r="D80" s="33" t="s">
        <v>241</v>
      </c>
      <c r="E80" s="33" t="s">
        <v>346</v>
      </c>
      <c r="F80" s="33" t="s">
        <v>297</v>
      </c>
      <c r="G80" s="33" t="s">
        <v>113</v>
      </c>
      <c r="H80" s="34" t="s">
        <v>159</v>
      </c>
      <c r="I80" s="33" t="s">
        <v>160</v>
      </c>
      <c r="J80" s="35" t="n">
        <v>60</v>
      </c>
      <c r="K80" s="33" t="s">
        <v>256</v>
      </c>
      <c r="L80" s="36" t="n">
        <v>10</v>
      </c>
      <c r="M80" s="37" t="s">
        <v>335</v>
      </c>
      <c r="N80" s="38" t="n">
        <f aca="false">IF($L80=0,O73,WORKDAY.INTL(O73,1,11))</f>
        <v>46748</v>
      </c>
      <c r="O80" s="38" t="n">
        <f aca="false">IF(L80=0,N80,WORKDAY.INTL(N80,L80-1,11))</f>
        <v>46758</v>
      </c>
      <c r="P80" s="34" t="s">
        <v>116</v>
      </c>
      <c r="Q80" s="39"/>
      <c r="R80" s="39"/>
      <c r="S80" s="40"/>
      <c r="T80" s="33" t="str">
        <f aca="false">IF(ISNUMBER(R80),"Completed",IF(ISNUMBER(Q80),"In Progress","Not Started"))</f>
        <v>Not Started</v>
      </c>
      <c r="U80" s="41"/>
    </row>
    <row r="81" customFormat="false" ht="15" hidden="false" customHeight="false" outlineLevel="2" collapsed="false">
      <c r="A81" s="33" t="s">
        <v>350</v>
      </c>
      <c r="B81" s="33" t="s">
        <v>351</v>
      </c>
      <c r="C81" s="34" t="s">
        <v>111</v>
      </c>
      <c r="D81" s="33" t="s">
        <v>241</v>
      </c>
      <c r="E81" s="33" t="s">
        <v>346</v>
      </c>
      <c r="F81" s="33" t="s">
        <v>301</v>
      </c>
      <c r="G81" s="33" t="s">
        <v>113</v>
      </c>
      <c r="H81" s="34" t="s">
        <v>159</v>
      </c>
      <c r="I81" s="33" t="s">
        <v>160</v>
      </c>
      <c r="J81" s="35" t="n">
        <v>260</v>
      </c>
      <c r="K81" s="33" t="s">
        <v>172</v>
      </c>
      <c r="L81" s="36" t="n">
        <v>5</v>
      </c>
      <c r="M81" s="37" t="s">
        <v>352</v>
      </c>
      <c r="N81" s="38" t="n">
        <f aca="false">IF($L81=0,O80,WORKDAY.INTL(O80,1,11))</f>
        <v>46759</v>
      </c>
      <c r="O81" s="38" t="n">
        <f aca="false">IF(L81=0,N81,WORKDAY.INTL(N81,L81-1,11))</f>
        <v>46764</v>
      </c>
      <c r="P81" s="34" t="s">
        <v>116</v>
      </c>
      <c r="Q81" s="39"/>
      <c r="R81" s="39"/>
      <c r="S81" s="40"/>
      <c r="T81" s="33" t="str">
        <f aca="false">IF(ISNUMBER(R81),"Completed",IF(ISNUMBER(Q81),"In Progress","Not Started"))</f>
        <v>Not Started</v>
      </c>
      <c r="U81" s="41"/>
    </row>
    <row r="82" customFormat="false" ht="15" hidden="false" customHeight="false" outlineLevel="2" collapsed="false">
      <c r="A82" s="33" t="s">
        <v>353</v>
      </c>
      <c r="B82" s="33" t="s">
        <v>354</v>
      </c>
      <c r="C82" s="34" t="s">
        <v>111</v>
      </c>
      <c r="D82" s="33" t="s">
        <v>241</v>
      </c>
      <c r="E82" s="33" t="s">
        <v>346</v>
      </c>
      <c r="F82" s="33" t="s">
        <v>305</v>
      </c>
      <c r="G82" s="33" t="s">
        <v>113</v>
      </c>
      <c r="H82" s="34" t="s">
        <v>159</v>
      </c>
      <c r="I82" s="33" t="s">
        <v>160</v>
      </c>
      <c r="J82" s="35" t="n">
        <v>700</v>
      </c>
      <c r="K82" s="33" t="s">
        <v>172</v>
      </c>
      <c r="L82" s="36" t="n">
        <v>10</v>
      </c>
      <c r="M82" s="37" t="s">
        <v>355</v>
      </c>
      <c r="N82" s="38" t="n">
        <f aca="false">IF($L82=0,O81,WORKDAY.INTL(O81,1,11))</f>
        <v>46765</v>
      </c>
      <c r="O82" s="38" t="n">
        <f aca="false">IF(L82=0,N82,WORKDAY.INTL(N82,L82-1,11))</f>
        <v>46776</v>
      </c>
      <c r="P82" s="34" t="s">
        <v>116</v>
      </c>
      <c r="Q82" s="39"/>
      <c r="R82" s="39"/>
      <c r="S82" s="40"/>
      <c r="T82" s="33" t="str">
        <f aca="false">IF(ISNUMBER(R82),"Completed",IF(ISNUMBER(Q82),"In Progress","Not Started"))</f>
        <v>Not Started</v>
      </c>
      <c r="U82" s="41"/>
    </row>
    <row r="83" customFormat="false" ht="15" hidden="false" customHeight="false" outlineLevel="2" collapsed="false">
      <c r="A83" s="33" t="s">
        <v>356</v>
      </c>
      <c r="B83" s="33" t="s">
        <v>357</v>
      </c>
      <c r="C83" s="34" t="s">
        <v>111</v>
      </c>
      <c r="D83" s="33" t="s">
        <v>241</v>
      </c>
      <c r="E83" s="33" t="s">
        <v>346</v>
      </c>
      <c r="F83" s="33" t="s">
        <v>358</v>
      </c>
      <c r="G83" s="33" t="s">
        <v>113</v>
      </c>
      <c r="H83" s="34" t="s">
        <v>159</v>
      </c>
      <c r="I83" s="33" t="s">
        <v>160</v>
      </c>
      <c r="J83" s="35" t="n">
        <v>1800</v>
      </c>
      <c r="K83" s="33" t="s">
        <v>167</v>
      </c>
      <c r="L83" s="36" t="n">
        <v>12</v>
      </c>
      <c r="M83" s="37" t="s">
        <v>359</v>
      </c>
      <c r="N83" s="38" t="n">
        <f aca="false">IF($L83=0,O82,WORKDAY.INTL(O82,1,11))</f>
        <v>46777</v>
      </c>
      <c r="O83" s="38" t="n">
        <f aca="false">IF(L83=0,N83,WORKDAY.INTL(N83,L83-1,11))</f>
        <v>46790</v>
      </c>
      <c r="P83" s="34" t="s">
        <v>116</v>
      </c>
      <c r="Q83" s="39"/>
      <c r="R83" s="39"/>
      <c r="S83" s="40"/>
      <c r="T83" s="33" t="str">
        <f aca="false">IF(ISNUMBER(R83),"Completed",IF(ISNUMBER(Q83),"In Progress","Not Started"))</f>
        <v>Not Started</v>
      </c>
      <c r="U83" s="41"/>
    </row>
    <row r="84" customFormat="false" ht="15" hidden="false" customHeight="false" outlineLevel="0" collapsed="false">
      <c r="A84" s="21" t="s">
        <v>360</v>
      </c>
      <c r="B84" s="21" t="s">
        <v>361</v>
      </c>
      <c r="C84" s="22" t="s">
        <v>99</v>
      </c>
      <c r="D84" s="21" t="s">
        <v>362</v>
      </c>
      <c r="E84" s="21" t="s">
        <v>362</v>
      </c>
      <c r="F84" s="21" t="s">
        <v>363</v>
      </c>
      <c r="G84" s="21" t="s">
        <v>102</v>
      </c>
      <c r="H84" s="22" t="s">
        <v>159</v>
      </c>
      <c r="I84" s="21" t="s">
        <v>160</v>
      </c>
      <c r="J84" s="23"/>
      <c r="K84" s="23"/>
      <c r="L84" s="24" t="n">
        <f aca="false">NETWORKDAYS.INTL(N84,O84,11)</f>
        <v>38</v>
      </c>
      <c r="M84" s="23"/>
      <c r="N84" s="25" t="n">
        <f aca="false">MIN(N85:N91)</f>
        <v>46709</v>
      </c>
      <c r="O84" s="25" t="n">
        <f aca="false">MAX(O85:O91)</f>
        <v>46752</v>
      </c>
      <c r="P84" s="22" t="s">
        <v>96</v>
      </c>
      <c r="Q84" s="25" t="str">
        <f aca="false">IF(COUNT(Q85:Q91)=0,"",MIN(Q85:Q91))</f>
        <v/>
      </c>
      <c r="R84" s="25" t="str">
        <f aca="false">IF(COUNTIFS(P85:P91,"Y")=COUNTIFS(P85:P91,"Y",R85:R91,"&gt;0"),MAX(R85:R91),"")</f>
        <v/>
      </c>
      <c r="S84" s="26" t="n">
        <f aca="false">IFERROR(SUMPRODUCT((P85:P91="Y")*L85:L91*S85:S91)/SUMIFS(L85:L91,P85:P91,"Y"),0)</f>
        <v>0</v>
      </c>
      <c r="T84" s="21" t="str">
        <f aca="false">IF(ISNUMBER(R84),"Completed",IF(ISNUMBER(Q84),"In Progress","Not Started"))</f>
        <v>Not Started</v>
      </c>
      <c r="U84" s="23"/>
    </row>
    <row r="85" customFormat="false" ht="15" hidden="false" customHeight="false" outlineLevel="1" collapsed="false">
      <c r="A85" s="27" t="s">
        <v>364</v>
      </c>
      <c r="B85" s="27" t="s">
        <v>365</v>
      </c>
      <c r="C85" s="28" t="s">
        <v>107</v>
      </c>
      <c r="D85" s="27" t="s">
        <v>362</v>
      </c>
      <c r="E85" s="27" t="s">
        <v>360</v>
      </c>
      <c r="F85" s="27" t="s">
        <v>366</v>
      </c>
      <c r="G85" s="27" t="s">
        <v>102</v>
      </c>
      <c r="H85" s="28" t="s">
        <v>159</v>
      </c>
      <c r="I85" s="27" t="s">
        <v>160</v>
      </c>
      <c r="J85" s="29"/>
      <c r="K85" s="29"/>
      <c r="L85" s="30" t="n">
        <f aca="false">NETWORKDAYS.INTL(N85,O85,11)</f>
        <v>38</v>
      </c>
      <c r="M85" s="29"/>
      <c r="N85" s="31" t="n">
        <f aca="false">MIN(N86:N91)</f>
        <v>46709</v>
      </c>
      <c r="O85" s="31" t="n">
        <f aca="false">MAX(O86:O91)</f>
        <v>46752</v>
      </c>
      <c r="P85" s="28" t="s">
        <v>96</v>
      </c>
      <c r="Q85" s="31" t="str">
        <f aca="false">IF(COUNT(Q86:Q91)=0,"",MIN(Q86:Q91))</f>
        <v/>
      </c>
      <c r="R85" s="31" t="str">
        <f aca="false">IF(COUNTIFS(P86:P91,"Y")=COUNTIFS(P86:P91,"Y",R86:R91,"&gt;0"),MAX(R86:R91),"")</f>
        <v/>
      </c>
      <c r="S85" s="32" t="n">
        <f aca="false">IFERROR(SUMPRODUCT((P86:P91="Y")*L86:L91*S86:S91)/SUMIFS(L86:L91,P86:P91,"Y"),0)</f>
        <v>0</v>
      </c>
      <c r="T85" s="27" t="str">
        <f aca="false">IF(ISNUMBER(R85),"Completed",IF(ISNUMBER(Q85),"In Progress","Not Started"))</f>
        <v>Not Started</v>
      </c>
      <c r="U85" s="29"/>
    </row>
    <row r="86" customFormat="false" ht="15" hidden="false" customHeight="false" outlineLevel="2" collapsed="false">
      <c r="A86" s="33" t="s">
        <v>367</v>
      </c>
      <c r="B86" s="33" t="s">
        <v>368</v>
      </c>
      <c r="C86" s="34" t="s">
        <v>111</v>
      </c>
      <c r="D86" s="33" t="s">
        <v>362</v>
      </c>
      <c r="E86" s="33" t="s">
        <v>364</v>
      </c>
      <c r="F86" s="33" t="s">
        <v>369</v>
      </c>
      <c r="G86" s="33" t="s">
        <v>113</v>
      </c>
      <c r="H86" s="34" t="s">
        <v>159</v>
      </c>
      <c r="I86" s="33" t="s">
        <v>160</v>
      </c>
      <c r="J86" s="35" t="n">
        <v>6000</v>
      </c>
      <c r="K86" s="33" t="s">
        <v>167</v>
      </c>
      <c r="L86" s="36" t="n">
        <v>6</v>
      </c>
      <c r="M86" s="37" t="s">
        <v>208</v>
      </c>
      <c r="N86" s="38" t="n">
        <f aca="false">IF($L86=0,O30,WORKDAY.INTL(O30,1,11))</f>
        <v>46709</v>
      </c>
      <c r="O86" s="38" t="n">
        <f aca="false">IF(L86=0,N86,WORKDAY.INTL(N86,L86-1,11))</f>
        <v>46715</v>
      </c>
      <c r="P86" s="34" t="s">
        <v>116</v>
      </c>
      <c r="Q86" s="39"/>
      <c r="R86" s="39"/>
      <c r="S86" s="40"/>
      <c r="T86" s="33" t="str">
        <f aca="false">IF(ISNUMBER(R86),"Completed",IF(ISNUMBER(Q86),"In Progress","Not Started"))</f>
        <v>Not Started</v>
      </c>
      <c r="U86" s="41"/>
    </row>
    <row r="87" customFormat="false" ht="15" hidden="false" customHeight="false" outlineLevel="2" collapsed="false">
      <c r="A87" s="33" t="s">
        <v>370</v>
      </c>
      <c r="B87" s="33" t="s">
        <v>371</v>
      </c>
      <c r="C87" s="34" t="s">
        <v>111</v>
      </c>
      <c r="D87" s="33" t="s">
        <v>362</v>
      </c>
      <c r="E87" s="33" t="s">
        <v>364</v>
      </c>
      <c r="F87" s="33" t="s">
        <v>372</v>
      </c>
      <c r="G87" s="33" t="s">
        <v>113</v>
      </c>
      <c r="H87" s="34" t="s">
        <v>159</v>
      </c>
      <c r="I87" s="33" t="s">
        <v>160</v>
      </c>
      <c r="J87" s="35" t="n">
        <v>6000</v>
      </c>
      <c r="K87" s="33" t="s">
        <v>167</v>
      </c>
      <c r="L87" s="36" t="n">
        <v>5</v>
      </c>
      <c r="M87" s="37" t="s">
        <v>373</v>
      </c>
      <c r="N87" s="38" t="n">
        <f aca="false">IF($L87=0,O86,WORKDAY.INTL(O86,1,11))</f>
        <v>46716</v>
      </c>
      <c r="O87" s="38" t="n">
        <f aca="false">IF(L87=0,N87,WORKDAY.INTL(N87,L87-1,11))</f>
        <v>46721</v>
      </c>
      <c r="P87" s="34" t="s">
        <v>116</v>
      </c>
      <c r="Q87" s="39"/>
      <c r="R87" s="39"/>
      <c r="S87" s="40"/>
      <c r="T87" s="33" t="str">
        <f aca="false">IF(ISNUMBER(R87),"Completed",IF(ISNUMBER(Q87),"In Progress","Not Started"))</f>
        <v>Not Started</v>
      </c>
      <c r="U87" s="41"/>
    </row>
    <row r="88" customFormat="false" ht="15" hidden="false" customHeight="false" outlineLevel="2" collapsed="false">
      <c r="A88" s="33" t="s">
        <v>374</v>
      </c>
      <c r="B88" s="33" t="s">
        <v>375</v>
      </c>
      <c r="C88" s="34" t="s">
        <v>111</v>
      </c>
      <c r="D88" s="33" t="s">
        <v>362</v>
      </c>
      <c r="E88" s="33" t="s">
        <v>364</v>
      </c>
      <c r="F88" s="33" t="s">
        <v>376</v>
      </c>
      <c r="G88" s="33" t="s">
        <v>113</v>
      </c>
      <c r="H88" s="34" t="s">
        <v>159</v>
      </c>
      <c r="I88" s="33" t="s">
        <v>160</v>
      </c>
      <c r="J88" s="35" t="n">
        <v>6000</v>
      </c>
      <c r="K88" s="33" t="s">
        <v>167</v>
      </c>
      <c r="L88" s="36" t="n">
        <v>5</v>
      </c>
      <c r="M88" s="37" t="s">
        <v>377</v>
      </c>
      <c r="N88" s="38" t="n">
        <f aca="false">IF($L88=0,O87,WORKDAY.INTL(O87,1,11))</f>
        <v>46722</v>
      </c>
      <c r="O88" s="38" t="n">
        <f aca="false">IF(L88=0,N88,WORKDAY.INTL(N88,L88-1,11))</f>
        <v>46727</v>
      </c>
      <c r="P88" s="34" t="s">
        <v>116</v>
      </c>
      <c r="Q88" s="39"/>
      <c r="R88" s="39"/>
      <c r="S88" s="40"/>
      <c r="T88" s="33" t="str">
        <f aca="false">IF(ISNUMBER(R88),"Completed",IF(ISNUMBER(Q88),"In Progress","Not Started"))</f>
        <v>Not Started</v>
      </c>
      <c r="U88" s="41"/>
    </row>
    <row r="89" customFormat="false" ht="15" hidden="false" customHeight="false" outlineLevel="2" collapsed="false">
      <c r="A89" s="33" t="s">
        <v>378</v>
      </c>
      <c r="B89" s="33" t="s">
        <v>379</v>
      </c>
      <c r="C89" s="34" t="s">
        <v>111</v>
      </c>
      <c r="D89" s="33" t="s">
        <v>362</v>
      </c>
      <c r="E89" s="33" t="s">
        <v>364</v>
      </c>
      <c r="F89" s="33" t="s">
        <v>380</v>
      </c>
      <c r="G89" s="33" t="s">
        <v>113</v>
      </c>
      <c r="H89" s="34" t="s">
        <v>159</v>
      </c>
      <c r="I89" s="33" t="s">
        <v>160</v>
      </c>
      <c r="J89" s="35" t="n">
        <v>900</v>
      </c>
      <c r="K89" s="33" t="s">
        <v>172</v>
      </c>
      <c r="L89" s="36" t="n">
        <v>14</v>
      </c>
      <c r="M89" s="37" t="s">
        <v>381</v>
      </c>
      <c r="N89" s="38" t="n">
        <f aca="false">IF($L89=0,O88,WORKDAY.INTL(O88,1,11))</f>
        <v>46728</v>
      </c>
      <c r="O89" s="38" t="n">
        <f aca="false">IF(L89=0,N89,WORKDAY.INTL(N89,L89-1,11))</f>
        <v>46743</v>
      </c>
      <c r="P89" s="34" t="s">
        <v>116</v>
      </c>
      <c r="Q89" s="39"/>
      <c r="R89" s="39"/>
      <c r="S89" s="40"/>
      <c r="T89" s="33" t="str">
        <f aca="false">IF(ISNUMBER(R89),"Completed",IF(ISNUMBER(Q89),"In Progress","Not Started"))</f>
        <v>Not Started</v>
      </c>
      <c r="U89" s="41"/>
    </row>
    <row r="90" customFormat="false" ht="15" hidden="false" customHeight="false" outlineLevel="2" collapsed="false">
      <c r="A90" s="33" t="s">
        <v>382</v>
      </c>
      <c r="B90" s="33" t="s">
        <v>383</v>
      </c>
      <c r="C90" s="34" t="s">
        <v>111</v>
      </c>
      <c r="D90" s="33" t="s">
        <v>362</v>
      </c>
      <c r="E90" s="33" t="s">
        <v>364</v>
      </c>
      <c r="F90" s="33" t="s">
        <v>384</v>
      </c>
      <c r="G90" s="33" t="s">
        <v>113</v>
      </c>
      <c r="H90" s="34" t="s">
        <v>159</v>
      </c>
      <c r="I90" s="33" t="s">
        <v>160</v>
      </c>
      <c r="J90" s="35" t="n">
        <v>400</v>
      </c>
      <c r="K90" s="33" t="s">
        <v>130</v>
      </c>
      <c r="L90" s="36" t="n">
        <v>8</v>
      </c>
      <c r="M90" s="37" t="s">
        <v>385</v>
      </c>
      <c r="N90" s="38" t="n">
        <f aca="false">WORKDAY.INTL(N89,6,11)</f>
        <v>46735</v>
      </c>
      <c r="O90" s="38" t="n">
        <f aca="false">IF(L90=0,N90,WORKDAY.INTL(N90,L90-1,11))</f>
        <v>46743</v>
      </c>
      <c r="P90" s="34" t="s">
        <v>116</v>
      </c>
      <c r="Q90" s="39"/>
      <c r="R90" s="39"/>
      <c r="S90" s="40"/>
      <c r="T90" s="33" t="str">
        <f aca="false">IF(ISNUMBER(R90),"Completed",IF(ISNUMBER(Q90),"In Progress","Not Started"))</f>
        <v>Not Started</v>
      </c>
      <c r="U90" s="41"/>
    </row>
    <row r="91" customFormat="false" ht="15" hidden="false" customHeight="false" outlineLevel="2" collapsed="false">
      <c r="A91" s="33" t="s">
        <v>386</v>
      </c>
      <c r="B91" s="33" t="s">
        <v>387</v>
      </c>
      <c r="C91" s="34" t="s">
        <v>111</v>
      </c>
      <c r="D91" s="33" t="s">
        <v>362</v>
      </c>
      <c r="E91" s="33" t="s">
        <v>364</v>
      </c>
      <c r="F91" s="33" t="s">
        <v>388</v>
      </c>
      <c r="G91" s="33" t="s">
        <v>113</v>
      </c>
      <c r="H91" s="34" t="s">
        <v>159</v>
      </c>
      <c r="I91" s="33" t="s">
        <v>160</v>
      </c>
      <c r="J91" s="35" t="n">
        <v>320</v>
      </c>
      <c r="K91" s="33" t="s">
        <v>130</v>
      </c>
      <c r="L91" s="36" t="n">
        <v>8</v>
      </c>
      <c r="M91" s="37" t="s">
        <v>389</v>
      </c>
      <c r="N91" s="38" t="n">
        <f aca="false">IF($L91=0,O89,WORKDAY.INTL(O89,1,11))</f>
        <v>46744</v>
      </c>
      <c r="O91" s="38" t="n">
        <f aca="false">IF(L91=0,N91,WORKDAY.INTL(N91,L91-1,11))</f>
        <v>46752</v>
      </c>
      <c r="P91" s="34" t="s">
        <v>116</v>
      </c>
      <c r="Q91" s="39"/>
      <c r="R91" s="39"/>
      <c r="S91" s="40"/>
      <c r="T91" s="33" t="str">
        <f aca="false">IF(ISNUMBER(R91),"Completed",IF(ISNUMBER(Q91),"In Progress","Not Started"))</f>
        <v>Not Started</v>
      </c>
      <c r="U91" s="41"/>
    </row>
    <row r="92" customFormat="false" ht="15" hidden="false" customHeight="false" outlineLevel="0" collapsed="false">
      <c r="A92" s="21" t="s">
        <v>390</v>
      </c>
      <c r="B92" s="21" t="s">
        <v>391</v>
      </c>
      <c r="C92" s="22" t="s">
        <v>99</v>
      </c>
      <c r="D92" s="21" t="s">
        <v>362</v>
      </c>
      <c r="E92" s="21" t="s">
        <v>362</v>
      </c>
      <c r="F92" s="21" t="s">
        <v>392</v>
      </c>
      <c r="G92" s="21" t="s">
        <v>102</v>
      </c>
      <c r="H92" s="22" t="s">
        <v>159</v>
      </c>
      <c r="I92" s="21" t="s">
        <v>160</v>
      </c>
      <c r="J92" s="23"/>
      <c r="K92" s="23"/>
      <c r="L92" s="24" t="n">
        <f aca="false">NETWORKDAYS.INTL(N92,O92,11)</f>
        <v>27</v>
      </c>
      <c r="M92" s="23"/>
      <c r="N92" s="25" t="n">
        <f aca="false">MIN(N93:N97)</f>
        <v>46709</v>
      </c>
      <c r="O92" s="25" t="n">
        <f aca="false">MAX(O93:O97)</f>
        <v>46739</v>
      </c>
      <c r="P92" s="22" t="s">
        <v>96</v>
      </c>
      <c r="Q92" s="25" t="str">
        <f aca="false">IF(COUNT(Q93:Q97)=0,"",MIN(Q93:Q97))</f>
        <v/>
      </c>
      <c r="R92" s="25" t="str">
        <f aca="false">IF(COUNTIFS(P93:P97,"Y")=COUNTIFS(P93:P97,"Y",R93:R97,"&gt;0"),MAX(R93:R97),"")</f>
        <v/>
      </c>
      <c r="S92" s="26" t="n">
        <f aca="false">IFERROR(SUMPRODUCT((P93:P97="Y")*L93:L97*S93:S97)/SUMIFS(L93:L97,P93:P97,"Y"),0)</f>
        <v>0</v>
      </c>
      <c r="T92" s="21" t="str">
        <f aca="false">IF(ISNUMBER(R92),"Completed",IF(ISNUMBER(Q92),"In Progress","Not Started"))</f>
        <v>Not Started</v>
      </c>
      <c r="U92" s="23"/>
    </row>
    <row r="93" customFormat="false" ht="15" hidden="false" customHeight="false" outlineLevel="1" collapsed="false">
      <c r="A93" s="27" t="s">
        <v>393</v>
      </c>
      <c r="B93" s="27" t="s">
        <v>394</v>
      </c>
      <c r="C93" s="28" t="s">
        <v>107</v>
      </c>
      <c r="D93" s="27" t="s">
        <v>362</v>
      </c>
      <c r="E93" s="27" t="s">
        <v>390</v>
      </c>
      <c r="F93" s="27" t="s">
        <v>395</v>
      </c>
      <c r="G93" s="27" t="s">
        <v>102</v>
      </c>
      <c r="H93" s="28" t="s">
        <v>159</v>
      </c>
      <c r="I93" s="27" t="s">
        <v>160</v>
      </c>
      <c r="J93" s="29"/>
      <c r="K93" s="29"/>
      <c r="L93" s="30" t="n">
        <f aca="false">NETWORKDAYS.INTL(N93,O93,11)</f>
        <v>27</v>
      </c>
      <c r="M93" s="29"/>
      <c r="N93" s="31" t="n">
        <f aca="false">MIN(N94:N97)</f>
        <v>46709</v>
      </c>
      <c r="O93" s="31" t="n">
        <f aca="false">MAX(O94:O97)</f>
        <v>46739</v>
      </c>
      <c r="P93" s="28" t="s">
        <v>96</v>
      </c>
      <c r="Q93" s="31" t="str">
        <f aca="false">IF(COUNT(Q94:Q97)=0,"",MIN(Q94:Q97))</f>
        <v/>
      </c>
      <c r="R93" s="31" t="str">
        <f aca="false">IF(COUNTIFS(P94:P97,"Y")=COUNTIFS(P94:P97,"Y",R94:R97,"&gt;0"),MAX(R94:R97),"")</f>
        <v/>
      </c>
      <c r="S93" s="32" t="n">
        <f aca="false">IFERROR(SUMPRODUCT((P94:P97="Y")*L94:L97*S94:S97)/SUMIFS(L94:L97,P94:P97,"Y"),0)</f>
        <v>0</v>
      </c>
      <c r="T93" s="27" t="str">
        <f aca="false">IF(ISNUMBER(R93),"Completed",IF(ISNUMBER(Q93),"In Progress","Not Started"))</f>
        <v>Not Started</v>
      </c>
      <c r="U93" s="29"/>
    </row>
    <row r="94" customFormat="false" ht="15" hidden="false" customHeight="false" outlineLevel="2" collapsed="false">
      <c r="A94" s="33" t="s">
        <v>396</v>
      </c>
      <c r="B94" s="33" t="s">
        <v>397</v>
      </c>
      <c r="C94" s="34" t="s">
        <v>111</v>
      </c>
      <c r="D94" s="33" t="s">
        <v>362</v>
      </c>
      <c r="E94" s="33" t="s">
        <v>393</v>
      </c>
      <c r="F94" s="33" t="s">
        <v>398</v>
      </c>
      <c r="G94" s="33" t="s">
        <v>113</v>
      </c>
      <c r="H94" s="34" t="s">
        <v>159</v>
      </c>
      <c r="I94" s="33" t="s">
        <v>160</v>
      </c>
      <c r="J94" s="35" t="n">
        <v>600</v>
      </c>
      <c r="K94" s="33" t="s">
        <v>172</v>
      </c>
      <c r="L94" s="36" t="n">
        <v>5</v>
      </c>
      <c r="M94" s="37" t="s">
        <v>208</v>
      </c>
      <c r="N94" s="38" t="n">
        <f aca="false">IF($L94=0,O30,WORKDAY.INTL(O30,1,11))</f>
        <v>46709</v>
      </c>
      <c r="O94" s="38" t="n">
        <f aca="false">IF(L94=0,N94,WORKDAY.INTL(N94,L94-1,11))</f>
        <v>46714</v>
      </c>
      <c r="P94" s="34" t="s">
        <v>116</v>
      </c>
      <c r="Q94" s="39"/>
      <c r="R94" s="39"/>
      <c r="S94" s="40"/>
      <c r="T94" s="33" t="str">
        <f aca="false">IF(ISNUMBER(R94),"Completed",IF(ISNUMBER(Q94),"In Progress","Not Started"))</f>
        <v>Not Started</v>
      </c>
      <c r="U94" s="41"/>
    </row>
    <row r="95" customFormat="false" ht="15" hidden="false" customHeight="false" outlineLevel="2" collapsed="false">
      <c r="A95" s="33" t="s">
        <v>399</v>
      </c>
      <c r="B95" s="33" t="s">
        <v>400</v>
      </c>
      <c r="C95" s="34" t="s">
        <v>111</v>
      </c>
      <c r="D95" s="33" t="s">
        <v>362</v>
      </c>
      <c r="E95" s="33" t="s">
        <v>393</v>
      </c>
      <c r="F95" s="33" t="s">
        <v>401</v>
      </c>
      <c r="G95" s="33" t="s">
        <v>113</v>
      </c>
      <c r="H95" s="34" t="s">
        <v>159</v>
      </c>
      <c r="I95" s="33" t="s">
        <v>160</v>
      </c>
      <c r="J95" s="35" t="n">
        <v>90</v>
      </c>
      <c r="K95" s="33" t="s">
        <v>172</v>
      </c>
      <c r="L95" s="36" t="n">
        <v>9</v>
      </c>
      <c r="M95" s="37" t="s">
        <v>402</v>
      </c>
      <c r="N95" s="38" t="n">
        <f aca="false">IF($L95=0,O94,WORKDAY.INTL(O94,1,11))</f>
        <v>46715</v>
      </c>
      <c r="O95" s="38" t="n">
        <f aca="false">IF(L95=0,N95,WORKDAY.INTL(N95,L95-1,11))</f>
        <v>46724</v>
      </c>
      <c r="P95" s="34" t="s">
        <v>116</v>
      </c>
      <c r="Q95" s="39"/>
      <c r="R95" s="39"/>
      <c r="S95" s="40"/>
      <c r="T95" s="33" t="str">
        <f aca="false">IF(ISNUMBER(R95),"Completed",IF(ISNUMBER(Q95),"In Progress","Not Started"))</f>
        <v>Not Started</v>
      </c>
      <c r="U95" s="41"/>
    </row>
    <row r="96" customFormat="false" ht="15" hidden="false" customHeight="false" outlineLevel="2" collapsed="false">
      <c r="A96" s="33" t="s">
        <v>403</v>
      </c>
      <c r="B96" s="33" t="s">
        <v>404</v>
      </c>
      <c r="C96" s="34" t="s">
        <v>111</v>
      </c>
      <c r="D96" s="33" t="s">
        <v>362</v>
      </c>
      <c r="E96" s="33" t="s">
        <v>393</v>
      </c>
      <c r="F96" s="33" t="s">
        <v>405</v>
      </c>
      <c r="G96" s="33" t="s">
        <v>113</v>
      </c>
      <c r="H96" s="34" t="s">
        <v>159</v>
      </c>
      <c r="I96" s="33" t="s">
        <v>160</v>
      </c>
      <c r="J96" s="35" t="n">
        <v>240</v>
      </c>
      <c r="K96" s="33" t="s">
        <v>172</v>
      </c>
      <c r="L96" s="36" t="n">
        <v>8</v>
      </c>
      <c r="M96" s="37" t="s">
        <v>406</v>
      </c>
      <c r="N96" s="38" t="n">
        <f aca="false">IF($L96=0,O95,WORKDAY.INTL(O95,1,11))</f>
        <v>46725</v>
      </c>
      <c r="O96" s="38" t="n">
        <f aca="false">IF(L96=0,N96,WORKDAY.INTL(N96,L96-1,11))</f>
        <v>46734</v>
      </c>
      <c r="P96" s="34" t="s">
        <v>116</v>
      </c>
      <c r="Q96" s="39"/>
      <c r="R96" s="39"/>
      <c r="S96" s="40"/>
      <c r="T96" s="33" t="str">
        <f aca="false">IF(ISNUMBER(R96),"Completed",IF(ISNUMBER(Q96),"In Progress","Not Started"))</f>
        <v>Not Started</v>
      </c>
      <c r="U96" s="41"/>
    </row>
    <row r="97" customFormat="false" ht="15" hidden="false" customHeight="false" outlineLevel="2" collapsed="false">
      <c r="A97" s="33" t="s">
        <v>407</v>
      </c>
      <c r="B97" s="33" t="s">
        <v>408</v>
      </c>
      <c r="C97" s="34" t="s">
        <v>111</v>
      </c>
      <c r="D97" s="33" t="s">
        <v>362</v>
      </c>
      <c r="E97" s="33" t="s">
        <v>393</v>
      </c>
      <c r="F97" s="33" t="s">
        <v>409</v>
      </c>
      <c r="G97" s="33" t="s">
        <v>113</v>
      </c>
      <c r="H97" s="34" t="s">
        <v>159</v>
      </c>
      <c r="I97" s="33" t="s">
        <v>160</v>
      </c>
      <c r="J97" s="35" t="n">
        <v>60</v>
      </c>
      <c r="K97" s="33" t="s">
        <v>172</v>
      </c>
      <c r="L97" s="36" t="n">
        <v>5</v>
      </c>
      <c r="M97" s="37" t="s">
        <v>410</v>
      </c>
      <c r="N97" s="38" t="n">
        <f aca="false">IF($L97=0,O96,WORKDAY.INTL(O96,1,11))</f>
        <v>46735</v>
      </c>
      <c r="O97" s="38" t="n">
        <f aca="false">IF(L97=0,N97,WORKDAY.INTL(N97,L97-1,11))</f>
        <v>46739</v>
      </c>
      <c r="P97" s="34" t="s">
        <v>116</v>
      </c>
      <c r="Q97" s="39"/>
      <c r="R97" s="39"/>
      <c r="S97" s="40"/>
      <c r="T97" s="33" t="str">
        <f aca="false">IF(ISNUMBER(R97),"Completed",IF(ISNUMBER(Q97),"In Progress","Not Started"))</f>
        <v>Not Started</v>
      </c>
      <c r="U97" s="41"/>
    </row>
    <row r="98" customFormat="false" ht="15" hidden="false" customHeight="false" outlineLevel="0" collapsed="false">
      <c r="A98" s="21" t="s">
        <v>411</v>
      </c>
      <c r="B98" s="21" t="s">
        <v>412</v>
      </c>
      <c r="C98" s="22" t="s">
        <v>99</v>
      </c>
      <c r="D98" s="21" t="s">
        <v>362</v>
      </c>
      <c r="E98" s="21" t="s">
        <v>362</v>
      </c>
      <c r="F98" s="21" t="s">
        <v>413</v>
      </c>
      <c r="G98" s="21" t="s">
        <v>102</v>
      </c>
      <c r="H98" s="22" t="s">
        <v>159</v>
      </c>
      <c r="I98" s="21" t="s">
        <v>160</v>
      </c>
      <c r="J98" s="23"/>
      <c r="K98" s="23"/>
      <c r="L98" s="24" t="n">
        <f aca="false">NETWORKDAYS.INTL(N98,O98,11)</f>
        <v>29</v>
      </c>
      <c r="M98" s="23"/>
      <c r="N98" s="25" t="n">
        <f aca="false">MIN(N99:N103)</f>
        <v>46709</v>
      </c>
      <c r="O98" s="25" t="n">
        <f aca="false">MAX(O99:O103)</f>
        <v>46742</v>
      </c>
      <c r="P98" s="22" t="s">
        <v>96</v>
      </c>
      <c r="Q98" s="25" t="str">
        <f aca="false">IF(COUNT(Q99:Q103)=0,"",MIN(Q99:Q103))</f>
        <v/>
      </c>
      <c r="R98" s="25" t="str">
        <f aca="false">IF(COUNTIFS(P99:P103,"Y")=COUNTIFS(P99:P103,"Y",R99:R103,"&gt;0"),MAX(R99:R103),"")</f>
        <v/>
      </c>
      <c r="S98" s="26" t="n">
        <f aca="false">IFERROR(SUMPRODUCT((P99:P103="Y")*L99:L103*S99:S103)/SUMIFS(L99:L103,P99:P103,"Y"),0)</f>
        <v>0</v>
      </c>
      <c r="T98" s="21" t="str">
        <f aca="false">IF(ISNUMBER(R98),"Completed",IF(ISNUMBER(Q98),"In Progress","Not Started"))</f>
        <v>Not Started</v>
      </c>
      <c r="U98" s="23"/>
    </row>
    <row r="99" customFormat="false" ht="15" hidden="false" customHeight="false" outlineLevel="1" collapsed="false">
      <c r="A99" s="27" t="s">
        <v>414</v>
      </c>
      <c r="B99" s="27" t="s">
        <v>415</v>
      </c>
      <c r="C99" s="28" t="s">
        <v>107</v>
      </c>
      <c r="D99" s="27" t="s">
        <v>362</v>
      </c>
      <c r="E99" s="27" t="s">
        <v>411</v>
      </c>
      <c r="F99" s="27" t="s">
        <v>416</v>
      </c>
      <c r="G99" s="27" t="s">
        <v>102</v>
      </c>
      <c r="H99" s="28" t="s">
        <v>159</v>
      </c>
      <c r="I99" s="27" t="s">
        <v>160</v>
      </c>
      <c r="J99" s="29"/>
      <c r="K99" s="29"/>
      <c r="L99" s="30" t="n">
        <f aca="false">NETWORKDAYS.INTL(N99,O99,11)</f>
        <v>29</v>
      </c>
      <c r="M99" s="29"/>
      <c r="N99" s="31" t="n">
        <f aca="false">MIN(N100:N103)</f>
        <v>46709</v>
      </c>
      <c r="O99" s="31" t="n">
        <f aca="false">MAX(O100:O103)</f>
        <v>46742</v>
      </c>
      <c r="P99" s="28" t="s">
        <v>96</v>
      </c>
      <c r="Q99" s="31" t="str">
        <f aca="false">IF(COUNT(Q100:Q103)=0,"",MIN(Q100:Q103))</f>
        <v/>
      </c>
      <c r="R99" s="31" t="str">
        <f aca="false">IF(COUNTIFS(P100:P103,"Y")=COUNTIFS(P100:P103,"Y",R100:R103,"&gt;0"),MAX(R100:R103),"")</f>
        <v/>
      </c>
      <c r="S99" s="32" t="n">
        <f aca="false">IFERROR(SUMPRODUCT((P100:P103="Y")*L100:L103*S100:S103)/SUMIFS(L100:L103,P100:P103,"Y"),0)</f>
        <v>0</v>
      </c>
      <c r="T99" s="27" t="str">
        <f aca="false">IF(ISNUMBER(R99),"Completed",IF(ISNUMBER(Q99),"In Progress","Not Started"))</f>
        <v>Not Started</v>
      </c>
      <c r="U99" s="29"/>
    </row>
    <row r="100" customFormat="false" ht="15" hidden="false" customHeight="false" outlineLevel="2" collapsed="false">
      <c r="A100" s="33" t="s">
        <v>417</v>
      </c>
      <c r="B100" s="33" t="s">
        <v>418</v>
      </c>
      <c r="C100" s="34" t="s">
        <v>111</v>
      </c>
      <c r="D100" s="33" t="s">
        <v>362</v>
      </c>
      <c r="E100" s="33" t="s">
        <v>414</v>
      </c>
      <c r="F100" s="33" t="s">
        <v>419</v>
      </c>
      <c r="G100" s="33" t="s">
        <v>113</v>
      </c>
      <c r="H100" s="34" t="s">
        <v>159</v>
      </c>
      <c r="I100" s="33" t="s">
        <v>160</v>
      </c>
      <c r="J100" s="35" t="n">
        <v>450</v>
      </c>
      <c r="K100" s="33" t="s">
        <v>172</v>
      </c>
      <c r="L100" s="36" t="n">
        <v>6</v>
      </c>
      <c r="M100" s="37" t="s">
        <v>208</v>
      </c>
      <c r="N100" s="38" t="n">
        <f aca="false">IF($L100=0,O30,WORKDAY.INTL(O30,1,11))</f>
        <v>46709</v>
      </c>
      <c r="O100" s="38" t="n">
        <f aca="false">IF(L100=0,N100,WORKDAY.INTL(N100,L100-1,11))</f>
        <v>46715</v>
      </c>
      <c r="P100" s="34" t="s">
        <v>116</v>
      </c>
      <c r="Q100" s="39"/>
      <c r="R100" s="39"/>
      <c r="S100" s="40"/>
      <c r="T100" s="33" t="str">
        <f aca="false">IF(ISNUMBER(R100),"Completed",IF(ISNUMBER(Q100),"In Progress","Not Started"))</f>
        <v>Not Started</v>
      </c>
      <c r="U100" s="41"/>
    </row>
    <row r="101" customFormat="false" ht="15" hidden="false" customHeight="false" outlineLevel="2" collapsed="false">
      <c r="A101" s="33" t="s">
        <v>420</v>
      </c>
      <c r="B101" s="33" t="s">
        <v>421</v>
      </c>
      <c r="C101" s="34" t="s">
        <v>111</v>
      </c>
      <c r="D101" s="33" t="s">
        <v>362</v>
      </c>
      <c r="E101" s="33" t="s">
        <v>414</v>
      </c>
      <c r="F101" s="33" t="s">
        <v>422</v>
      </c>
      <c r="G101" s="33" t="s">
        <v>113</v>
      </c>
      <c r="H101" s="34" t="s">
        <v>159</v>
      </c>
      <c r="I101" s="33" t="s">
        <v>160</v>
      </c>
      <c r="J101" s="35" t="n">
        <v>70</v>
      </c>
      <c r="K101" s="33" t="s">
        <v>172</v>
      </c>
      <c r="L101" s="36" t="n">
        <v>6</v>
      </c>
      <c r="M101" s="37" t="s">
        <v>423</v>
      </c>
      <c r="N101" s="38" t="n">
        <f aca="false">IF($L101=0,O100,WORKDAY.INTL(O100,1,11))</f>
        <v>46716</v>
      </c>
      <c r="O101" s="38" t="n">
        <f aca="false">IF(L101=0,N101,WORKDAY.INTL(N101,L101-1,11))</f>
        <v>46722</v>
      </c>
      <c r="P101" s="34" t="s">
        <v>116</v>
      </c>
      <c r="Q101" s="39"/>
      <c r="R101" s="39"/>
      <c r="S101" s="40"/>
      <c r="T101" s="33" t="str">
        <f aca="false">IF(ISNUMBER(R101),"Completed",IF(ISNUMBER(Q101),"In Progress","Not Started"))</f>
        <v>Not Started</v>
      </c>
      <c r="U101" s="41"/>
    </row>
    <row r="102" customFormat="false" ht="15" hidden="false" customHeight="false" outlineLevel="2" collapsed="false">
      <c r="A102" s="33" t="s">
        <v>424</v>
      </c>
      <c r="B102" s="33" t="s">
        <v>425</v>
      </c>
      <c r="C102" s="34" t="s">
        <v>111</v>
      </c>
      <c r="D102" s="33" t="s">
        <v>362</v>
      </c>
      <c r="E102" s="33" t="s">
        <v>414</v>
      </c>
      <c r="F102" s="33" t="s">
        <v>426</v>
      </c>
      <c r="G102" s="33" t="s">
        <v>113</v>
      </c>
      <c r="H102" s="34" t="s">
        <v>159</v>
      </c>
      <c r="I102" s="33" t="s">
        <v>160</v>
      </c>
      <c r="J102" s="35" t="n">
        <v>110</v>
      </c>
      <c r="K102" s="33" t="s">
        <v>172</v>
      </c>
      <c r="L102" s="36" t="n">
        <v>10</v>
      </c>
      <c r="M102" s="37" t="s">
        <v>427</v>
      </c>
      <c r="N102" s="38" t="n">
        <f aca="false">IF($L102=0,O101,WORKDAY.INTL(O101,1,11))</f>
        <v>46723</v>
      </c>
      <c r="O102" s="38" t="n">
        <f aca="false">IF(L102=0,N102,WORKDAY.INTL(N102,L102-1,11))</f>
        <v>46734</v>
      </c>
      <c r="P102" s="34" t="s">
        <v>116</v>
      </c>
      <c r="Q102" s="39"/>
      <c r="R102" s="39"/>
      <c r="S102" s="40"/>
      <c r="T102" s="33" t="str">
        <f aca="false">IF(ISNUMBER(R102),"Completed",IF(ISNUMBER(Q102),"In Progress","Not Started"))</f>
        <v>Not Started</v>
      </c>
      <c r="U102" s="41"/>
    </row>
    <row r="103" customFormat="false" ht="15" hidden="false" customHeight="false" outlineLevel="2" collapsed="false">
      <c r="A103" s="33" t="s">
        <v>428</v>
      </c>
      <c r="B103" s="33" t="s">
        <v>429</v>
      </c>
      <c r="C103" s="34" t="s">
        <v>111</v>
      </c>
      <c r="D103" s="33" t="s">
        <v>362</v>
      </c>
      <c r="E103" s="33" t="s">
        <v>414</v>
      </c>
      <c r="F103" s="33" t="s">
        <v>430</v>
      </c>
      <c r="G103" s="33" t="s">
        <v>113</v>
      </c>
      <c r="H103" s="34" t="s">
        <v>159</v>
      </c>
      <c r="I103" s="33" t="s">
        <v>160</v>
      </c>
      <c r="J103" s="35" t="n">
        <v>1</v>
      </c>
      <c r="K103" s="33" t="s">
        <v>114</v>
      </c>
      <c r="L103" s="36" t="n">
        <v>7</v>
      </c>
      <c r="M103" s="37" t="s">
        <v>431</v>
      </c>
      <c r="N103" s="38" t="n">
        <f aca="false">IF($L103=0,O102,WORKDAY.INTL(O102,1,11))</f>
        <v>46735</v>
      </c>
      <c r="O103" s="38" t="n">
        <f aca="false">IF(L103=0,N103,WORKDAY.INTL(N103,L103-1,11))</f>
        <v>46742</v>
      </c>
      <c r="P103" s="34" t="s">
        <v>116</v>
      </c>
      <c r="Q103" s="39"/>
      <c r="R103" s="39"/>
      <c r="S103" s="40"/>
      <c r="T103" s="33" t="str">
        <f aca="false">IF(ISNUMBER(R103),"Completed",IF(ISNUMBER(Q103),"In Progress","Not Started"))</f>
        <v>Not Started</v>
      </c>
      <c r="U103" s="41"/>
    </row>
    <row r="104" customFormat="false" ht="15" hidden="false" customHeight="false" outlineLevel="0" collapsed="false">
      <c r="A104" s="21" t="s">
        <v>432</v>
      </c>
      <c r="B104" s="21" t="s">
        <v>433</v>
      </c>
      <c r="C104" s="22" t="s">
        <v>99</v>
      </c>
      <c r="D104" s="21" t="s">
        <v>434</v>
      </c>
      <c r="E104" s="21" t="s">
        <v>434</v>
      </c>
      <c r="F104" s="21" t="s">
        <v>435</v>
      </c>
      <c r="G104" s="21" t="s">
        <v>102</v>
      </c>
      <c r="H104" s="22" t="s">
        <v>159</v>
      </c>
      <c r="I104" s="21" t="s">
        <v>160</v>
      </c>
      <c r="J104" s="23"/>
      <c r="K104" s="23"/>
      <c r="L104" s="24" t="n">
        <f aca="false">NETWORKDAYS.INTL(N104,O104,11)</f>
        <v>74</v>
      </c>
      <c r="M104" s="23"/>
      <c r="N104" s="25" t="n">
        <f aca="false">MIN(N105:N114)</f>
        <v>46709</v>
      </c>
      <c r="O104" s="25" t="n">
        <f aca="false">MAX(O105:O114)</f>
        <v>46794</v>
      </c>
      <c r="P104" s="22" t="s">
        <v>96</v>
      </c>
      <c r="Q104" s="25" t="str">
        <f aca="false">IF(COUNT(Q105:Q114)=0,"",MIN(Q105:Q114))</f>
        <v/>
      </c>
      <c r="R104" s="25" t="str">
        <f aca="false">IF(COUNTIFS(P105:P114,"Y")=COUNTIFS(P105:P114,"Y",R105:R114,"&gt;0"),MAX(R105:R114),"")</f>
        <v/>
      </c>
      <c r="S104" s="26" t="n">
        <f aca="false">IFERROR(SUMPRODUCT((P105:P114="Y")*L105:L114*S105:S114)/SUMIFS(L105:L114,P105:P114,"Y"),0)</f>
        <v>0</v>
      </c>
      <c r="T104" s="21" t="str">
        <f aca="false">IF(ISNUMBER(R104),"Completed",IF(ISNUMBER(Q104),"In Progress","Not Started"))</f>
        <v>Not Started</v>
      </c>
      <c r="U104" s="23"/>
    </row>
    <row r="105" customFormat="false" ht="15" hidden="false" customHeight="false" outlineLevel="1" collapsed="false">
      <c r="A105" s="27" t="s">
        <v>436</v>
      </c>
      <c r="B105" s="27" t="s">
        <v>437</v>
      </c>
      <c r="C105" s="28" t="s">
        <v>107</v>
      </c>
      <c r="D105" s="27" t="s">
        <v>434</v>
      </c>
      <c r="E105" s="27" t="s">
        <v>432</v>
      </c>
      <c r="F105" s="27" t="s">
        <v>438</v>
      </c>
      <c r="G105" s="27" t="s">
        <v>102</v>
      </c>
      <c r="H105" s="28" t="s">
        <v>159</v>
      </c>
      <c r="I105" s="27" t="s">
        <v>160</v>
      </c>
      <c r="J105" s="29"/>
      <c r="K105" s="29"/>
      <c r="L105" s="30" t="n">
        <f aca="false">NETWORKDAYS.INTL(N105,O105,11)</f>
        <v>44</v>
      </c>
      <c r="M105" s="29"/>
      <c r="N105" s="31" t="n">
        <f aca="false">MIN(N106:N109)</f>
        <v>46709</v>
      </c>
      <c r="O105" s="31" t="n">
        <f aca="false">MAX(O106:O109)</f>
        <v>46759</v>
      </c>
      <c r="P105" s="28" t="s">
        <v>96</v>
      </c>
      <c r="Q105" s="31" t="str">
        <f aca="false">IF(COUNT(Q106:Q109)=0,"",MIN(Q106:Q109))</f>
        <v/>
      </c>
      <c r="R105" s="31" t="str">
        <f aca="false">IF(COUNTIFS(P106:P109,"Y")=COUNTIFS(P106:P109,"Y",R106:R109,"&gt;0"),MAX(R106:R109),"")</f>
        <v/>
      </c>
      <c r="S105" s="32" t="n">
        <f aca="false">IFERROR(SUMPRODUCT((P106:P109="Y")*L106:L109*S106:S109)/SUMIFS(L106:L109,P106:P109,"Y"),0)</f>
        <v>0</v>
      </c>
      <c r="T105" s="27" t="str">
        <f aca="false">IF(ISNUMBER(R105),"Completed",IF(ISNUMBER(Q105),"In Progress","Not Started"))</f>
        <v>Not Started</v>
      </c>
      <c r="U105" s="29"/>
    </row>
    <row r="106" customFormat="false" ht="15" hidden="false" customHeight="false" outlineLevel="2" collapsed="false">
      <c r="A106" s="33" t="s">
        <v>439</v>
      </c>
      <c r="B106" s="33" t="s">
        <v>440</v>
      </c>
      <c r="C106" s="34" t="s">
        <v>111</v>
      </c>
      <c r="D106" s="33" t="s">
        <v>434</v>
      </c>
      <c r="E106" s="33" t="s">
        <v>436</v>
      </c>
      <c r="F106" s="33" t="s">
        <v>441</v>
      </c>
      <c r="G106" s="33" t="s">
        <v>113</v>
      </c>
      <c r="H106" s="34" t="s">
        <v>159</v>
      </c>
      <c r="I106" s="33" t="s">
        <v>160</v>
      </c>
      <c r="J106" s="35" t="n">
        <v>300</v>
      </c>
      <c r="K106" s="33" t="s">
        <v>172</v>
      </c>
      <c r="L106" s="36" t="n">
        <v>4</v>
      </c>
      <c r="M106" s="37" t="s">
        <v>208</v>
      </c>
      <c r="N106" s="38" t="n">
        <f aca="false">IF($L106=0,O30,WORKDAY.INTL(O30,1,11))</f>
        <v>46709</v>
      </c>
      <c r="O106" s="38" t="n">
        <f aca="false">IF(L106=0,N106,WORKDAY.INTL(N106,L106-1,11))</f>
        <v>46713</v>
      </c>
      <c r="P106" s="34" t="s">
        <v>116</v>
      </c>
      <c r="Q106" s="39"/>
      <c r="R106" s="39"/>
      <c r="S106" s="40"/>
      <c r="T106" s="33" t="str">
        <f aca="false">IF(ISNUMBER(R106),"Completed",IF(ISNUMBER(Q106),"In Progress","Not Started"))</f>
        <v>Not Started</v>
      </c>
      <c r="U106" s="41"/>
    </row>
    <row r="107" customFormat="false" ht="15" hidden="false" customHeight="false" outlineLevel="2" collapsed="false">
      <c r="A107" s="33" t="s">
        <v>442</v>
      </c>
      <c r="B107" s="33" t="s">
        <v>443</v>
      </c>
      <c r="C107" s="34" t="s">
        <v>111</v>
      </c>
      <c r="D107" s="33" t="s">
        <v>434</v>
      </c>
      <c r="E107" s="33" t="s">
        <v>436</v>
      </c>
      <c r="F107" s="33" t="s">
        <v>401</v>
      </c>
      <c r="G107" s="33" t="s">
        <v>113</v>
      </c>
      <c r="H107" s="34" t="s">
        <v>159</v>
      </c>
      <c r="I107" s="33" t="s">
        <v>160</v>
      </c>
      <c r="J107" s="35" t="n">
        <v>60</v>
      </c>
      <c r="K107" s="33" t="s">
        <v>172</v>
      </c>
      <c r="L107" s="36" t="n">
        <v>8</v>
      </c>
      <c r="M107" s="37" t="s">
        <v>444</v>
      </c>
      <c r="N107" s="38" t="n">
        <f aca="false">IF($L107=0,O106,WORKDAY.INTL(O106,1,11))</f>
        <v>46714</v>
      </c>
      <c r="O107" s="38" t="n">
        <f aca="false">IF(L107=0,N107,WORKDAY.INTL(N107,L107-1,11))</f>
        <v>46722</v>
      </c>
      <c r="P107" s="34" t="s">
        <v>116</v>
      </c>
      <c r="Q107" s="39"/>
      <c r="R107" s="39"/>
      <c r="S107" s="40"/>
      <c r="T107" s="33" t="str">
        <f aca="false">IF(ISNUMBER(R107),"Completed",IF(ISNUMBER(Q107),"In Progress","Not Started"))</f>
        <v>Not Started</v>
      </c>
      <c r="U107" s="41"/>
    </row>
    <row r="108" customFormat="false" ht="15" hidden="false" customHeight="false" outlineLevel="2" collapsed="false">
      <c r="A108" s="33" t="s">
        <v>445</v>
      </c>
      <c r="B108" s="33" t="s">
        <v>446</v>
      </c>
      <c r="C108" s="34" t="s">
        <v>111</v>
      </c>
      <c r="D108" s="33" t="s">
        <v>434</v>
      </c>
      <c r="E108" s="33" t="s">
        <v>436</v>
      </c>
      <c r="F108" s="33" t="s">
        <v>447</v>
      </c>
      <c r="G108" s="33" t="s">
        <v>113</v>
      </c>
      <c r="H108" s="34" t="s">
        <v>159</v>
      </c>
      <c r="I108" s="33" t="s">
        <v>160</v>
      </c>
      <c r="J108" s="35" t="n">
        <v>210</v>
      </c>
      <c r="K108" s="33" t="s">
        <v>172</v>
      </c>
      <c r="L108" s="36" t="n">
        <v>20</v>
      </c>
      <c r="M108" s="37" t="s">
        <v>448</v>
      </c>
      <c r="N108" s="38" t="n">
        <f aca="false">IF($L108=0,O107,WORKDAY.INTL(O107,1,11))</f>
        <v>46723</v>
      </c>
      <c r="O108" s="38" t="n">
        <f aca="false">IF(L108=0,N108,WORKDAY.INTL(N108,L108-1,11))</f>
        <v>46745</v>
      </c>
      <c r="P108" s="34" t="s">
        <v>116</v>
      </c>
      <c r="Q108" s="39"/>
      <c r="R108" s="39"/>
      <c r="S108" s="40"/>
      <c r="T108" s="33" t="str">
        <f aca="false">IF(ISNUMBER(R108),"Completed",IF(ISNUMBER(Q108),"In Progress","Not Started"))</f>
        <v>Not Started</v>
      </c>
      <c r="U108" s="41"/>
    </row>
    <row r="109" customFormat="false" ht="15" hidden="false" customHeight="false" outlineLevel="2" collapsed="false">
      <c r="A109" s="33" t="s">
        <v>449</v>
      </c>
      <c r="B109" s="33" t="s">
        <v>450</v>
      </c>
      <c r="C109" s="34" t="s">
        <v>111</v>
      </c>
      <c r="D109" s="33" t="s">
        <v>434</v>
      </c>
      <c r="E109" s="33" t="s">
        <v>436</v>
      </c>
      <c r="F109" s="33" t="s">
        <v>451</v>
      </c>
      <c r="G109" s="33" t="s">
        <v>113</v>
      </c>
      <c r="H109" s="34" t="s">
        <v>159</v>
      </c>
      <c r="I109" s="33" t="s">
        <v>160</v>
      </c>
      <c r="J109" s="35" t="n">
        <v>850</v>
      </c>
      <c r="K109" s="33" t="s">
        <v>167</v>
      </c>
      <c r="L109" s="36" t="n">
        <v>12</v>
      </c>
      <c r="M109" s="37" t="s">
        <v>452</v>
      </c>
      <c r="N109" s="38" t="n">
        <f aca="false">IF($L109=0,O108,WORKDAY.INTL(O108,1,11))</f>
        <v>46746</v>
      </c>
      <c r="O109" s="38" t="n">
        <f aca="false">IF(L109=0,N109,WORKDAY.INTL(N109,L109-1,11))</f>
        <v>46759</v>
      </c>
      <c r="P109" s="34" t="s">
        <v>116</v>
      </c>
      <c r="Q109" s="39"/>
      <c r="R109" s="39"/>
      <c r="S109" s="40"/>
      <c r="T109" s="33" t="str">
        <f aca="false">IF(ISNUMBER(R109),"Completed",IF(ISNUMBER(Q109),"In Progress","Not Started"))</f>
        <v>Not Started</v>
      </c>
      <c r="U109" s="41"/>
    </row>
    <row r="110" customFormat="false" ht="15" hidden="false" customHeight="false" outlineLevel="1" collapsed="false">
      <c r="A110" s="27" t="s">
        <v>453</v>
      </c>
      <c r="B110" s="27" t="s">
        <v>454</v>
      </c>
      <c r="C110" s="28" t="s">
        <v>107</v>
      </c>
      <c r="D110" s="27" t="s">
        <v>434</v>
      </c>
      <c r="E110" s="27" t="s">
        <v>432</v>
      </c>
      <c r="F110" s="27" t="s">
        <v>455</v>
      </c>
      <c r="G110" s="27" t="s">
        <v>102</v>
      </c>
      <c r="H110" s="28" t="s">
        <v>159</v>
      </c>
      <c r="I110" s="27" t="s">
        <v>160</v>
      </c>
      <c r="J110" s="29"/>
      <c r="K110" s="29"/>
      <c r="L110" s="30" t="n">
        <f aca="false">NETWORKDAYS.INTL(N110,O110,11)</f>
        <v>30</v>
      </c>
      <c r="M110" s="29"/>
      <c r="N110" s="31" t="n">
        <f aca="false">MIN(N111:N114)</f>
        <v>46760</v>
      </c>
      <c r="O110" s="31" t="n">
        <f aca="false">MAX(O111:O114)</f>
        <v>46794</v>
      </c>
      <c r="P110" s="28" t="s">
        <v>96</v>
      </c>
      <c r="Q110" s="31" t="str">
        <f aca="false">IF(COUNT(Q111:Q114)=0,"",MIN(Q111:Q114))</f>
        <v/>
      </c>
      <c r="R110" s="31" t="str">
        <f aca="false">IF(COUNTIFS(P111:P114,"Y")=COUNTIFS(P111:P114,"Y",R111:R114,"&gt;0"),MAX(R111:R114),"")</f>
        <v/>
      </c>
      <c r="S110" s="32" t="n">
        <f aca="false">IFERROR(SUMPRODUCT((P111:P114="Y")*L111:L114*S111:S114)/SUMIFS(L111:L114,P111:P114,"Y"),0)</f>
        <v>0</v>
      </c>
      <c r="T110" s="27" t="str">
        <f aca="false">IF(ISNUMBER(R110),"Completed",IF(ISNUMBER(Q110),"In Progress","Not Started"))</f>
        <v>Not Started</v>
      </c>
      <c r="U110" s="29"/>
    </row>
    <row r="111" customFormat="false" ht="15" hidden="false" customHeight="false" outlineLevel="2" collapsed="false">
      <c r="A111" s="33" t="s">
        <v>456</v>
      </c>
      <c r="B111" s="33" t="s">
        <v>457</v>
      </c>
      <c r="C111" s="34" t="s">
        <v>111</v>
      </c>
      <c r="D111" s="33" t="s">
        <v>434</v>
      </c>
      <c r="E111" s="33" t="s">
        <v>453</v>
      </c>
      <c r="F111" s="33" t="s">
        <v>458</v>
      </c>
      <c r="G111" s="33" t="s">
        <v>113</v>
      </c>
      <c r="H111" s="34" t="s">
        <v>159</v>
      </c>
      <c r="I111" s="33" t="s">
        <v>160</v>
      </c>
      <c r="J111" s="35" t="n">
        <v>1700</v>
      </c>
      <c r="K111" s="33" t="s">
        <v>167</v>
      </c>
      <c r="L111" s="36" t="n">
        <v>12</v>
      </c>
      <c r="M111" s="37" t="s">
        <v>459</v>
      </c>
      <c r="N111" s="38" t="n">
        <f aca="false">IF($L111=0,O109,WORKDAY.INTL(O109,1,11))</f>
        <v>46760</v>
      </c>
      <c r="O111" s="38" t="n">
        <f aca="false">IF(L111=0,N111,WORKDAY.INTL(N111,L111-1,11))</f>
        <v>46773</v>
      </c>
      <c r="P111" s="34" t="s">
        <v>116</v>
      </c>
      <c r="Q111" s="39"/>
      <c r="R111" s="39"/>
      <c r="S111" s="40"/>
      <c r="T111" s="33" t="str">
        <f aca="false">IF(ISNUMBER(R111),"Completed",IF(ISNUMBER(Q111),"In Progress","Not Started"))</f>
        <v>Not Started</v>
      </c>
      <c r="U111" s="41"/>
    </row>
    <row r="112" customFormat="false" ht="15" hidden="false" customHeight="false" outlineLevel="2" collapsed="false">
      <c r="A112" s="33" t="s">
        <v>460</v>
      </c>
      <c r="B112" s="33" t="s">
        <v>461</v>
      </c>
      <c r="C112" s="34" t="s">
        <v>111</v>
      </c>
      <c r="D112" s="33" t="s">
        <v>434</v>
      </c>
      <c r="E112" s="33" t="s">
        <v>453</v>
      </c>
      <c r="F112" s="33" t="s">
        <v>462</v>
      </c>
      <c r="G112" s="33" t="s">
        <v>113</v>
      </c>
      <c r="H112" s="34" t="s">
        <v>159</v>
      </c>
      <c r="I112" s="33" t="s">
        <v>160</v>
      </c>
      <c r="J112" s="35" t="n">
        <v>650</v>
      </c>
      <c r="K112" s="33" t="s">
        <v>167</v>
      </c>
      <c r="L112" s="36" t="n">
        <v>10</v>
      </c>
      <c r="M112" s="37" t="s">
        <v>463</v>
      </c>
      <c r="N112" s="38" t="n">
        <f aca="false">IF($L112=0,O111,WORKDAY.INTL(O111,1,11))</f>
        <v>46774</v>
      </c>
      <c r="O112" s="38" t="n">
        <f aca="false">IF(L112=0,N112,WORKDAY.INTL(N112,L112-1,11))</f>
        <v>46785</v>
      </c>
      <c r="P112" s="34" t="s">
        <v>116</v>
      </c>
      <c r="Q112" s="39"/>
      <c r="R112" s="39"/>
      <c r="S112" s="40"/>
      <c r="T112" s="33" t="str">
        <f aca="false">IF(ISNUMBER(R112),"Completed",IF(ISNUMBER(Q112),"In Progress","Not Started"))</f>
        <v>Not Started</v>
      </c>
      <c r="U112" s="41"/>
    </row>
    <row r="113" customFormat="false" ht="15" hidden="false" customHeight="false" outlineLevel="2" collapsed="false">
      <c r="A113" s="33" t="s">
        <v>464</v>
      </c>
      <c r="B113" s="33" t="s">
        <v>465</v>
      </c>
      <c r="C113" s="34" t="s">
        <v>111</v>
      </c>
      <c r="D113" s="33" t="s">
        <v>434</v>
      </c>
      <c r="E113" s="33" t="s">
        <v>453</v>
      </c>
      <c r="F113" s="33" t="s">
        <v>466</v>
      </c>
      <c r="G113" s="33" t="s">
        <v>113</v>
      </c>
      <c r="H113" s="34" t="s">
        <v>159</v>
      </c>
      <c r="I113" s="33" t="s">
        <v>160</v>
      </c>
      <c r="J113" s="35" t="n">
        <v>45</v>
      </c>
      <c r="K113" s="33" t="s">
        <v>151</v>
      </c>
      <c r="L113" s="36" t="n">
        <v>7</v>
      </c>
      <c r="M113" s="37" t="s">
        <v>459</v>
      </c>
      <c r="N113" s="38" t="n">
        <f aca="false">IF($L113=0,O109,WORKDAY.INTL(O109,1,11))</f>
        <v>46760</v>
      </c>
      <c r="O113" s="38" t="n">
        <f aca="false">IF(L113=0,N113,WORKDAY.INTL(N113,L113-1,11))</f>
        <v>46767</v>
      </c>
      <c r="P113" s="34" t="s">
        <v>116</v>
      </c>
      <c r="Q113" s="39"/>
      <c r="R113" s="39"/>
      <c r="S113" s="40"/>
      <c r="T113" s="33" t="str">
        <f aca="false">IF(ISNUMBER(R113),"Completed",IF(ISNUMBER(Q113),"In Progress","Not Started"))</f>
        <v>Not Started</v>
      </c>
      <c r="U113" s="41"/>
    </row>
    <row r="114" customFormat="false" ht="15" hidden="false" customHeight="false" outlineLevel="2" collapsed="false">
      <c r="A114" s="33" t="s">
        <v>467</v>
      </c>
      <c r="B114" s="33" t="s">
        <v>468</v>
      </c>
      <c r="C114" s="34" t="s">
        <v>111</v>
      </c>
      <c r="D114" s="33" t="s">
        <v>434</v>
      </c>
      <c r="E114" s="33" t="s">
        <v>453</v>
      </c>
      <c r="F114" s="33" t="s">
        <v>469</v>
      </c>
      <c r="G114" s="33" t="s">
        <v>113</v>
      </c>
      <c r="H114" s="34" t="s">
        <v>159</v>
      </c>
      <c r="I114" s="33" t="s">
        <v>160</v>
      </c>
      <c r="J114" s="35" t="n">
        <v>1700</v>
      </c>
      <c r="K114" s="33" t="s">
        <v>167</v>
      </c>
      <c r="L114" s="36" t="n">
        <v>8</v>
      </c>
      <c r="M114" s="37" t="s">
        <v>470</v>
      </c>
      <c r="N114" s="38" t="n">
        <f aca="false">MAX(IF($L114=0,O112,WORKDAY.INTL(O112,1,11)),IF($L114=0,O113,WORKDAY.INTL(O113,1,11)))</f>
        <v>46786</v>
      </c>
      <c r="O114" s="38" t="n">
        <f aca="false">IF(L114=0,N114,WORKDAY.INTL(N114,L114-1,11))</f>
        <v>46794</v>
      </c>
      <c r="P114" s="34" t="s">
        <v>116</v>
      </c>
      <c r="Q114" s="39"/>
      <c r="R114" s="39"/>
      <c r="S114" s="40"/>
      <c r="T114" s="33" t="str">
        <f aca="false">IF(ISNUMBER(R114),"Completed",IF(ISNUMBER(Q114),"In Progress","Not Started"))</f>
        <v>Not Started</v>
      </c>
      <c r="U114" s="41"/>
    </row>
    <row r="115" customFormat="false" ht="15" hidden="false" customHeight="false" outlineLevel="0" collapsed="false">
      <c r="A115" s="21" t="s">
        <v>471</v>
      </c>
      <c r="B115" s="21" t="s">
        <v>472</v>
      </c>
      <c r="C115" s="22" t="s">
        <v>99</v>
      </c>
      <c r="D115" s="21" t="s">
        <v>434</v>
      </c>
      <c r="E115" s="21" t="s">
        <v>434</v>
      </c>
      <c r="F115" s="21" t="s">
        <v>473</v>
      </c>
      <c r="G115" s="21" t="s">
        <v>102</v>
      </c>
      <c r="H115" s="22" t="s">
        <v>159</v>
      </c>
      <c r="I115" s="21" t="s">
        <v>160</v>
      </c>
      <c r="J115" s="23"/>
      <c r="K115" s="23"/>
      <c r="L115" s="24" t="n">
        <f aca="false">NETWORKDAYS.INTL(N115,O115,11)</f>
        <v>34</v>
      </c>
      <c r="M115" s="23"/>
      <c r="N115" s="25" t="n">
        <f aca="false">MIN(N116:N120)</f>
        <v>46709</v>
      </c>
      <c r="O115" s="25" t="n">
        <f aca="false">MAX(O116:O120)</f>
        <v>46748</v>
      </c>
      <c r="P115" s="22" t="s">
        <v>96</v>
      </c>
      <c r="Q115" s="25" t="str">
        <f aca="false">IF(COUNT(Q116:Q120)=0,"",MIN(Q116:Q120))</f>
        <v/>
      </c>
      <c r="R115" s="25" t="str">
        <f aca="false">IF(COUNTIFS(P116:P120,"Y")=COUNTIFS(P116:P120,"Y",R116:R120,"&gt;0"),MAX(R116:R120),"")</f>
        <v/>
      </c>
      <c r="S115" s="26" t="n">
        <f aca="false">IFERROR(SUMPRODUCT((P116:P120="Y")*L116:L120*S116:S120)/SUMIFS(L116:L120,P116:P120,"Y"),0)</f>
        <v>0</v>
      </c>
      <c r="T115" s="21" t="str">
        <f aca="false">IF(ISNUMBER(R115),"Completed",IF(ISNUMBER(Q115),"In Progress","Not Started"))</f>
        <v>Not Started</v>
      </c>
      <c r="U115" s="23"/>
    </row>
    <row r="116" customFormat="false" ht="15" hidden="false" customHeight="false" outlineLevel="1" collapsed="false">
      <c r="A116" s="27" t="s">
        <v>474</v>
      </c>
      <c r="B116" s="27" t="s">
        <v>475</v>
      </c>
      <c r="C116" s="28" t="s">
        <v>107</v>
      </c>
      <c r="D116" s="27" t="s">
        <v>434</v>
      </c>
      <c r="E116" s="27" t="s">
        <v>471</v>
      </c>
      <c r="F116" s="27" t="s">
        <v>476</v>
      </c>
      <c r="G116" s="27" t="s">
        <v>102</v>
      </c>
      <c r="H116" s="28" t="s">
        <v>159</v>
      </c>
      <c r="I116" s="27" t="s">
        <v>160</v>
      </c>
      <c r="J116" s="29"/>
      <c r="K116" s="29"/>
      <c r="L116" s="30" t="n">
        <f aca="false">NETWORKDAYS.INTL(N116,O116,11)</f>
        <v>34</v>
      </c>
      <c r="M116" s="29"/>
      <c r="N116" s="31" t="n">
        <f aca="false">MIN(N117:N120)</f>
        <v>46709</v>
      </c>
      <c r="O116" s="31" t="n">
        <f aca="false">MAX(O117:O120)</f>
        <v>46748</v>
      </c>
      <c r="P116" s="28" t="s">
        <v>96</v>
      </c>
      <c r="Q116" s="31" t="str">
        <f aca="false">IF(COUNT(Q117:Q120)=0,"",MIN(Q117:Q120))</f>
        <v/>
      </c>
      <c r="R116" s="31" t="str">
        <f aca="false">IF(COUNTIFS(P117:P120,"Y")=COUNTIFS(P117:P120,"Y",R117:R120,"&gt;0"),MAX(R117:R120),"")</f>
        <v/>
      </c>
      <c r="S116" s="32" t="n">
        <f aca="false">IFERROR(SUMPRODUCT((P117:P120="Y")*L117:L120*S117:S120)/SUMIFS(L117:L120,P117:P120,"Y"),0)</f>
        <v>0</v>
      </c>
      <c r="T116" s="27" t="str">
        <f aca="false">IF(ISNUMBER(R116),"Completed",IF(ISNUMBER(Q116),"In Progress","Not Started"))</f>
        <v>Not Started</v>
      </c>
      <c r="U116" s="29"/>
    </row>
    <row r="117" customFormat="false" ht="15" hidden="false" customHeight="false" outlineLevel="2" collapsed="false">
      <c r="A117" s="33" t="s">
        <v>477</v>
      </c>
      <c r="B117" s="33" t="s">
        <v>478</v>
      </c>
      <c r="C117" s="34" t="s">
        <v>111</v>
      </c>
      <c r="D117" s="33" t="s">
        <v>434</v>
      </c>
      <c r="E117" s="33" t="s">
        <v>474</v>
      </c>
      <c r="F117" s="33" t="s">
        <v>479</v>
      </c>
      <c r="G117" s="33" t="s">
        <v>113</v>
      </c>
      <c r="H117" s="34" t="s">
        <v>159</v>
      </c>
      <c r="I117" s="33" t="s">
        <v>160</v>
      </c>
      <c r="J117" s="35" t="n">
        <v>1</v>
      </c>
      <c r="K117" s="33" t="s">
        <v>114</v>
      </c>
      <c r="L117" s="36" t="n">
        <v>22</v>
      </c>
      <c r="M117" s="37" t="s">
        <v>208</v>
      </c>
      <c r="N117" s="38" t="n">
        <f aca="false">IF($L117=0,O30,WORKDAY.INTL(O30,1,11))</f>
        <v>46709</v>
      </c>
      <c r="O117" s="38" t="n">
        <f aca="false">IF(L117=0,N117,WORKDAY.INTL(N117,L117-1,11))</f>
        <v>46734</v>
      </c>
      <c r="P117" s="34" t="s">
        <v>116</v>
      </c>
      <c r="Q117" s="39"/>
      <c r="R117" s="39"/>
      <c r="S117" s="40"/>
      <c r="T117" s="33" t="str">
        <f aca="false">IF(ISNUMBER(R117),"Completed",IF(ISNUMBER(Q117),"In Progress","Not Started"))</f>
        <v>Not Started</v>
      </c>
      <c r="U117" s="41"/>
    </row>
    <row r="118" customFormat="false" ht="15" hidden="false" customHeight="false" outlineLevel="2" collapsed="false">
      <c r="A118" s="33" t="s">
        <v>480</v>
      </c>
      <c r="B118" s="33" t="s">
        <v>481</v>
      </c>
      <c r="C118" s="34" t="s">
        <v>111</v>
      </c>
      <c r="D118" s="33" t="s">
        <v>434</v>
      </c>
      <c r="E118" s="33" t="s">
        <v>474</v>
      </c>
      <c r="F118" s="33" t="s">
        <v>482</v>
      </c>
      <c r="G118" s="33" t="s">
        <v>113</v>
      </c>
      <c r="H118" s="34" t="s">
        <v>159</v>
      </c>
      <c r="I118" s="33" t="s">
        <v>160</v>
      </c>
      <c r="J118" s="35" t="n">
        <v>1</v>
      </c>
      <c r="K118" s="33" t="s">
        <v>114</v>
      </c>
      <c r="L118" s="36" t="n">
        <v>25</v>
      </c>
      <c r="M118" s="37" t="s">
        <v>208</v>
      </c>
      <c r="N118" s="38" t="n">
        <f aca="false">IF($L118=0,O30,WORKDAY.INTL(O30,1,11))</f>
        <v>46709</v>
      </c>
      <c r="O118" s="38" t="n">
        <f aca="false">IF(L118=0,N118,WORKDAY.INTL(N118,L118-1,11))</f>
        <v>46737</v>
      </c>
      <c r="P118" s="34" t="s">
        <v>116</v>
      </c>
      <c r="Q118" s="39"/>
      <c r="R118" s="39"/>
      <c r="S118" s="40"/>
      <c r="T118" s="33" t="str">
        <f aca="false">IF(ISNUMBER(R118),"Completed",IF(ISNUMBER(Q118),"In Progress","Not Started"))</f>
        <v>Not Started</v>
      </c>
      <c r="U118" s="41"/>
    </row>
    <row r="119" customFormat="false" ht="15" hidden="false" customHeight="false" outlineLevel="2" collapsed="false">
      <c r="A119" s="33" t="s">
        <v>483</v>
      </c>
      <c r="B119" s="33" t="s">
        <v>484</v>
      </c>
      <c r="C119" s="34" t="s">
        <v>111</v>
      </c>
      <c r="D119" s="33" t="s">
        <v>434</v>
      </c>
      <c r="E119" s="33" t="s">
        <v>474</v>
      </c>
      <c r="F119" s="33" t="s">
        <v>485</v>
      </c>
      <c r="G119" s="33" t="s">
        <v>113</v>
      </c>
      <c r="H119" s="34" t="s">
        <v>159</v>
      </c>
      <c r="I119" s="33" t="s">
        <v>160</v>
      </c>
      <c r="J119" s="35" t="n">
        <v>60</v>
      </c>
      <c r="K119" s="33" t="s">
        <v>172</v>
      </c>
      <c r="L119" s="36" t="n">
        <v>8</v>
      </c>
      <c r="M119" s="37" t="s">
        <v>208</v>
      </c>
      <c r="N119" s="38" t="n">
        <f aca="false">IF($L119=0,O30,WORKDAY.INTL(O30,1,11))</f>
        <v>46709</v>
      </c>
      <c r="O119" s="38" t="n">
        <f aca="false">IF(L119=0,N119,WORKDAY.INTL(N119,L119-1,11))</f>
        <v>46717</v>
      </c>
      <c r="P119" s="34" t="s">
        <v>116</v>
      </c>
      <c r="Q119" s="39"/>
      <c r="R119" s="39"/>
      <c r="S119" s="40"/>
      <c r="T119" s="33" t="str">
        <f aca="false">IF(ISNUMBER(R119),"Completed",IF(ISNUMBER(Q119),"In Progress","Not Started"))</f>
        <v>Not Started</v>
      </c>
      <c r="U119" s="41"/>
    </row>
    <row r="120" customFormat="false" ht="15" hidden="false" customHeight="false" outlineLevel="2" collapsed="false">
      <c r="A120" s="33" t="s">
        <v>486</v>
      </c>
      <c r="B120" s="33" t="s">
        <v>487</v>
      </c>
      <c r="C120" s="34" t="s">
        <v>111</v>
      </c>
      <c r="D120" s="33" t="s">
        <v>434</v>
      </c>
      <c r="E120" s="33" t="s">
        <v>474</v>
      </c>
      <c r="F120" s="33" t="s">
        <v>488</v>
      </c>
      <c r="G120" s="33" t="s">
        <v>113</v>
      </c>
      <c r="H120" s="34" t="s">
        <v>159</v>
      </c>
      <c r="I120" s="33" t="s">
        <v>160</v>
      </c>
      <c r="J120" s="35" t="n">
        <v>450</v>
      </c>
      <c r="K120" s="33" t="s">
        <v>130</v>
      </c>
      <c r="L120" s="36" t="n">
        <v>12</v>
      </c>
      <c r="M120" s="37" t="s">
        <v>489</v>
      </c>
      <c r="N120" s="38" t="n">
        <f aca="false">IF($L120=0,O117,WORKDAY.INTL(O117,1,11))</f>
        <v>46735</v>
      </c>
      <c r="O120" s="38" t="n">
        <f aca="false">IF(L120=0,N120,WORKDAY.INTL(N120,L120-1,11))</f>
        <v>46748</v>
      </c>
      <c r="P120" s="34" t="s">
        <v>116</v>
      </c>
      <c r="Q120" s="39"/>
      <c r="R120" s="39"/>
      <c r="S120" s="40"/>
      <c r="T120" s="33" t="str">
        <f aca="false">IF(ISNUMBER(R120),"Completed",IF(ISNUMBER(Q120),"In Progress","Not Started"))</f>
        <v>Not Started</v>
      </c>
      <c r="U120" s="41"/>
    </row>
    <row r="121" customFormat="false" ht="15" hidden="false" customHeight="false" outlineLevel="0" collapsed="false">
      <c r="A121" s="21" t="s">
        <v>490</v>
      </c>
      <c r="B121" s="21" t="s">
        <v>491</v>
      </c>
      <c r="C121" s="22" t="s">
        <v>99</v>
      </c>
      <c r="D121" s="21" t="s">
        <v>492</v>
      </c>
      <c r="E121" s="21" t="s">
        <v>492</v>
      </c>
      <c r="F121" s="21" t="s">
        <v>493</v>
      </c>
      <c r="G121" s="21" t="s">
        <v>102</v>
      </c>
      <c r="H121" s="22" t="s">
        <v>494</v>
      </c>
      <c r="I121" s="21" t="s">
        <v>495</v>
      </c>
      <c r="J121" s="23"/>
      <c r="K121" s="23"/>
      <c r="L121" s="24" t="n">
        <f aca="false">NETWORKDAYS.INTL(N121,O121,11)</f>
        <v>110</v>
      </c>
      <c r="M121" s="23"/>
      <c r="N121" s="25" t="n">
        <f aca="false">MIN(N122:N139)</f>
        <v>46688</v>
      </c>
      <c r="O121" s="25" t="n">
        <f aca="false">MAX(O122:O139)</f>
        <v>46815</v>
      </c>
      <c r="P121" s="22" t="s">
        <v>96</v>
      </c>
      <c r="Q121" s="25" t="str">
        <f aca="false">IF(COUNT(Q122:Q139)=0,"",MIN(Q122:Q139))</f>
        <v/>
      </c>
      <c r="R121" s="25" t="str">
        <f aca="false">IF(COUNTIFS(P122:P139,"Y")=COUNTIFS(P122:P139,"Y",R122:R139,"&gt;0"),MAX(R122:R139),"")</f>
        <v/>
      </c>
      <c r="S121" s="26" t="n">
        <f aca="false">IFERROR(SUMPRODUCT((P122:P139="Y")*L122:L139*S122:S139)/SUMIFS(L122:L139,P122:P139,"Y"),0)</f>
        <v>0</v>
      </c>
      <c r="T121" s="21" t="str">
        <f aca="false">IF(ISNUMBER(R121),"Completed",IF(ISNUMBER(Q121),"In Progress","Not Started"))</f>
        <v>Not Started</v>
      </c>
      <c r="U121" s="23"/>
    </row>
    <row r="122" customFormat="false" ht="15" hidden="false" customHeight="false" outlineLevel="1" collapsed="false">
      <c r="A122" s="27" t="s">
        <v>496</v>
      </c>
      <c r="B122" s="27" t="s">
        <v>497</v>
      </c>
      <c r="C122" s="28" t="s">
        <v>107</v>
      </c>
      <c r="D122" s="27" t="s">
        <v>492</v>
      </c>
      <c r="E122" s="27" t="s">
        <v>490</v>
      </c>
      <c r="F122" s="27" t="s">
        <v>498</v>
      </c>
      <c r="G122" s="27" t="s">
        <v>102</v>
      </c>
      <c r="H122" s="28" t="s">
        <v>494</v>
      </c>
      <c r="I122" s="27" t="s">
        <v>495</v>
      </c>
      <c r="J122" s="29"/>
      <c r="K122" s="29"/>
      <c r="L122" s="30" t="n">
        <f aca="false">NETWORKDAYS.INTL(N122,O122,11)</f>
        <v>41</v>
      </c>
      <c r="M122" s="29"/>
      <c r="N122" s="31" t="n">
        <f aca="false">MIN(N123:N126)</f>
        <v>46688</v>
      </c>
      <c r="O122" s="31" t="n">
        <f aca="false">MAX(O123:O126)</f>
        <v>46735</v>
      </c>
      <c r="P122" s="28" t="s">
        <v>96</v>
      </c>
      <c r="Q122" s="31" t="str">
        <f aca="false">IF(COUNT(Q123:Q126)=0,"",MIN(Q123:Q126))</f>
        <v/>
      </c>
      <c r="R122" s="31" t="str">
        <f aca="false">IF(COUNTIFS(P123:P126,"Y")=COUNTIFS(P123:P126,"Y",R123:R126,"&gt;0"),MAX(R123:R126),"")</f>
        <v/>
      </c>
      <c r="S122" s="32" t="n">
        <f aca="false">IFERROR(SUMPRODUCT((P123:P126="Y")*L123:L126*S123:S126)/SUMIFS(L123:L126,P123:P126,"Y"),0)</f>
        <v>0</v>
      </c>
      <c r="T122" s="27" t="str">
        <f aca="false">IF(ISNUMBER(R122),"Completed",IF(ISNUMBER(Q122),"In Progress","Not Started"))</f>
        <v>Not Started</v>
      </c>
      <c r="U122" s="29"/>
    </row>
    <row r="123" customFormat="false" ht="15" hidden="false" customHeight="false" outlineLevel="2" collapsed="false">
      <c r="A123" s="33" t="s">
        <v>499</v>
      </c>
      <c r="B123" s="33" t="s">
        <v>500</v>
      </c>
      <c r="C123" s="34" t="s">
        <v>111</v>
      </c>
      <c r="D123" s="33" t="s">
        <v>492</v>
      </c>
      <c r="E123" s="33" t="s">
        <v>496</v>
      </c>
      <c r="F123" s="33" t="s">
        <v>501</v>
      </c>
      <c r="G123" s="33" t="s">
        <v>113</v>
      </c>
      <c r="H123" s="34" t="s">
        <v>494</v>
      </c>
      <c r="I123" s="33" t="s">
        <v>495</v>
      </c>
      <c r="J123" s="35" t="n">
        <v>240</v>
      </c>
      <c r="K123" s="33" t="s">
        <v>256</v>
      </c>
      <c r="L123" s="36" t="n">
        <v>15</v>
      </c>
      <c r="M123" s="37" t="s">
        <v>502</v>
      </c>
      <c r="N123" s="38" t="n">
        <f aca="false">IF($L123=0,O6,WORKDAY.INTL(O6,1,11))</f>
        <v>46688</v>
      </c>
      <c r="O123" s="38" t="n">
        <f aca="false">IF(L123=0,N123,WORKDAY.INTL(N123,L123-1,11))</f>
        <v>46704</v>
      </c>
      <c r="P123" s="34" t="s">
        <v>116</v>
      </c>
      <c r="Q123" s="39"/>
      <c r="R123" s="39"/>
      <c r="S123" s="40"/>
      <c r="T123" s="33" t="str">
        <f aca="false">IF(ISNUMBER(R123),"Completed",IF(ISNUMBER(Q123),"In Progress","Not Started"))</f>
        <v>Not Started</v>
      </c>
      <c r="U123" s="41"/>
    </row>
    <row r="124" customFormat="false" ht="15" hidden="false" customHeight="false" outlineLevel="2" collapsed="false">
      <c r="A124" s="33" t="s">
        <v>503</v>
      </c>
      <c r="B124" s="33" t="s">
        <v>504</v>
      </c>
      <c r="C124" s="34" t="s">
        <v>111</v>
      </c>
      <c r="D124" s="33" t="s">
        <v>492</v>
      </c>
      <c r="E124" s="33" t="s">
        <v>496</v>
      </c>
      <c r="F124" s="33" t="s">
        <v>505</v>
      </c>
      <c r="G124" s="33" t="s">
        <v>113</v>
      </c>
      <c r="H124" s="34" t="s">
        <v>494</v>
      </c>
      <c r="I124" s="33" t="s">
        <v>495</v>
      </c>
      <c r="J124" s="35" t="n">
        <v>85</v>
      </c>
      <c r="K124" s="33" t="s">
        <v>256</v>
      </c>
      <c r="L124" s="36" t="n">
        <v>18</v>
      </c>
      <c r="M124" s="37" t="s">
        <v>506</v>
      </c>
      <c r="N124" s="38" t="n">
        <f aca="false">IF($L124=0,O123,WORKDAY.INTL(O123,1,11))</f>
        <v>46706</v>
      </c>
      <c r="O124" s="38" t="n">
        <f aca="false">IF(L124=0,N124,WORKDAY.INTL(N124,L124-1,11))</f>
        <v>46725</v>
      </c>
      <c r="P124" s="34" t="s">
        <v>116</v>
      </c>
      <c r="Q124" s="39"/>
      <c r="R124" s="39"/>
      <c r="S124" s="40"/>
      <c r="T124" s="33" t="str">
        <f aca="false">IF(ISNUMBER(R124),"Completed",IF(ISNUMBER(Q124),"In Progress","Not Started"))</f>
        <v>Not Started</v>
      </c>
      <c r="U124" s="41"/>
    </row>
    <row r="125" customFormat="false" ht="15" hidden="false" customHeight="false" outlineLevel="2" collapsed="false">
      <c r="A125" s="33" t="s">
        <v>507</v>
      </c>
      <c r="B125" s="33" t="s">
        <v>508</v>
      </c>
      <c r="C125" s="34" t="s">
        <v>111</v>
      </c>
      <c r="D125" s="33" t="s">
        <v>492</v>
      </c>
      <c r="E125" s="33" t="s">
        <v>496</v>
      </c>
      <c r="F125" s="33" t="s">
        <v>509</v>
      </c>
      <c r="G125" s="33" t="s">
        <v>113</v>
      </c>
      <c r="H125" s="34" t="s">
        <v>494</v>
      </c>
      <c r="I125" s="33" t="s">
        <v>495</v>
      </c>
      <c r="J125" s="35" t="n">
        <v>140</v>
      </c>
      <c r="K125" s="33" t="s">
        <v>256</v>
      </c>
      <c r="L125" s="36" t="n">
        <v>22</v>
      </c>
      <c r="M125" s="37" t="s">
        <v>506</v>
      </c>
      <c r="N125" s="38" t="n">
        <f aca="false">IF($L125=0,O123,WORKDAY.INTL(O123,1,11))</f>
        <v>46706</v>
      </c>
      <c r="O125" s="38" t="n">
        <f aca="false">IF(L125=0,N125,WORKDAY.INTL(N125,L125-1,11))</f>
        <v>46730</v>
      </c>
      <c r="P125" s="34" t="s">
        <v>116</v>
      </c>
      <c r="Q125" s="39"/>
      <c r="R125" s="39"/>
      <c r="S125" s="40"/>
      <c r="T125" s="33" t="str">
        <f aca="false">IF(ISNUMBER(R125),"Completed",IF(ISNUMBER(Q125),"In Progress","Not Started"))</f>
        <v>Not Started</v>
      </c>
      <c r="U125" s="41"/>
    </row>
    <row r="126" customFormat="false" ht="15" hidden="false" customHeight="false" outlineLevel="2" collapsed="false">
      <c r="A126" s="33" t="s">
        <v>510</v>
      </c>
      <c r="B126" s="33" t="s">
        <v>511</v>
      </c>
      <c r="C126" s="34" t="s">
        <v>111</v>
      </c>
      <c r="D126" s="33" t="s">
        <v>492</v>
      </c>
      <c r="E126" s="33" t="s">
        <v>496</v>
      </c>
      <c r="F126" s="33" t="s">
        <v>512</v>
      </c>
      <c r="G126" s="33" t="s">
        <v>113</v>
      </c>
      <c r="H126" s="34" t="s">
        <v>494</v>
      </c>
      <c r="I126" s="33" t="s">
        <v>495</v>
      </c>
      <c r="J126" s="35" t="n">
        <v>225</v>
      </c>
      <c r="K126" s="33" t="s">
        <v>256</v>
      </c>
      <c r="L126" s="36" t="n">
        <v>8</v>
      </c>
      <c r="M126" s="37" t="s">
        <v>513</v>
      </c>
      <c r="N126" s="38" t="n">
        <f aca="false">IF($L126=0,O124,WORKDAY.INTL(O124,1,11))</f>
        <v>46727</v>
      </c>
      <c r="O126" s="38" t="n">
        <f aca="false">IF(L126=0,N126,WORKDAY.INTL(N126,L126-1,11))</f>
        <v>46735</v>
      </c>
      <c r="P126" s="34" t="s">
        <v>116</v>
      </c>
      <c r="Q126" s="39"/>
      <c r="R126" s="39"/>
      <c r="S126" s="40"/>
      <c r="T126" s="33" t="str">
        <f aca="false">IF(ISNUMBER(R126),"Completed",IF(ISNUMBER(Q126),"In Progress","Not Started"))</f>
        <v>Not Started</v>
      </c>
      <c r="U126" s="41"/>
    </row>
    <row r="127" customFormat="false" ht="15" hidden="false" customHeight="false" outlineLevel="1" collapsed="false">
      <c r="A127" s="27" t="s">
        <v>514</v>
      </c>
      <c r="B127" s="27" t="s">
        <v>515</v>
      </c>
      <c r="C127" s="28" t="s">
        <v>107</v>
      </c>
      <c r="D127" s="27" t="s">
        <v>492</v>
      </c>
      <c r="E127" s="27" t="s">
        <v>490</v>
      </c>
      <c r="F127" s="27" t="s">
        <v>516</v>
      </c>
      <c r="G127" s="27" t="s">
        <v>102</v>
      </c>
      <c r="H127" s="28" t="s">
        <v>494</v>
      </c>
      <c r="I127" s="27" t="s">
        <v>495</v>
      </c>
      <c r="J127" s="29"/>
      <c r="K127" s="29"/>
      <c r="L127" s="30" t="n">
        <f aca="false">NETWORKDAYS.INTL(N127,O127,11)</f>
        <v>28</v>
      </c>
      <c r="M127" s="29"/>
      <c r="N127" s="31" t="n">
        <f aca="false">MIN(N128:N131)</f>
        <v>46756</v>
      </c>
      <c r="O127" s="31" t="n">
        <f aca="false">MAX(O128:O131)</f>
        <v>46787</v>
      </c>
      <c r="P127" s="28" t="s">
        <v>96</v>
      </c>
      <c r="Q127" s="31" t="str">
        <f aca="false">IF(COUNT(Q128:Q131)=0,"",MIN(Q128:Q131))</f>
        <v/>
      </c>
      <c r="R127" s="31" t="str">
        <f aca="false">IF(COUNTIFS(P128:P131,"Y")=COUNTIFS(P128:P131,"Y",R128:R131,"&gt;0"),MAX(R128:R131),"")</f>
        <v/>
      </c>
      <c r="S127" s="32" t="n">
        <f aca="false">IFERROR(SUMPRODUCT((P128:P131="Y")*L128:L131*S128:S131)/SUMIFS(L128:L131,P128:P131,"Y"),0)</f>
        <v>0</v>
      </c>
      <c r="T127" s="27" t="str">
        <f aca="false">IF(ISNUMBER(R127),"Completed",IF(ISNUMBER(Q127),"In Progress","Not Started"))</f>
        <v>Not Started</v>
      </c>
      <c r="U127" s="29"/>
    </row>
    <row r="128" customFormat="false" ht="15" hidden="false" customHeight="false" outlineLevel="2" collapsed="false">
      <c r="A128" s="33" t="s">
        <v>517</v>
      </c>
      <c r="B128" s="33" t="s">
        <v>518</v>
      </c>
      <c r="C128" s="34" t="s">
        <v>111</v>
      </c>
      <c r="D128" s="33" t="s">
        <v>492</v>
      </c>
      <c r="E128" s="33" t="s">
        <v>514</v>
      </c>
      <c r="F128" s="33" t="s">
        <v>519</v>
      </c>
      <c r="G128" s="33" t="s">
        <v>113</v>
      </c>
      <c r="H128" s="34" t="s">
        <v>494</v>
      </c>
      <c r="I128" s="33" t="s">
        <v>495</v>
      </c>
      <c r="J128" s="35" t="n">
        <v>85</v>
      </c>
      <c r="K128" s="33" t="s">
        <v>256</v>
      </c>
      <c r="L128" s="36" t="n">
        <v>8</v>
      </c>
      <c r="M128" s="37" t="s">
        <v>520</v>
      </c>
      <c r="N128" s="38" t="n">
        <f aca="false">MAX(IF($L128=0,O126,WORKDAY.INTL(O126,1,11)),IF($L128=0,O64,WORKDAY.INTL(O64,1,11)))</f>
        <v>46756</v>
      </c>
      <c r="O128" s="38" t="n">
        <f aca="false">IF(L128=0,N128,WORKDAY.INTL(N128,L128-1,11))</f>
        <v>46764</v>
      </c>
      <c r="P128" s="34" t="s">
        <v>116</v>
      </c>
      <c r="Q128" s="39"/>
      <c r="R128" s="39"/>
      <c r="S128" s="40"/>
      <c r="T128" s="33" t="str">
        <f aca="false">IF(ISNUMBER(R128),"Completed",IF(ISNUMBER(Q128),"In Progress","Not Started"))</f>
        <v>Not Started</v>
      </c>
      <c r="U128" s="41"/>
    </row>
    <row r="129" customFormat="false" ht="15" hidden="false" customHeight="false" outlineLevel="2" collapsed="false">
      <c r="A129" s="33" t="s">
        <v>521</v>
      </c>
      <c r="B129" s="33" t="s">
        <v>522</v>
      </c>
      <c r="C129" s="34" t="s">
        <v>111</v>
      </c>
      <c r="D129" s="33" t="s">
        <v>492</v>
      </c>
      <c r="E129" s="33" t="s">
        <v>514</v>
      </c>
      <c r="F129" s="33" t="s">
        <v>523</v>
      </c>
      <c r="G129" s="33" t="s">
        <v>113</v>
      </c>
      <c r="H129" s="34" t="s">
        <v>494</v>
      </c>
      <c r="I129" s="33" t="s">
        <v>495</v>
      </c>
      <c r="J129" s="35" t="n">
        <v>85</v>
      </c>
      <c r="K129" s="33" t="s">
        <v>256</v>
      </c>
      <c r="L129" s="36" t="n">
        <v>10</v>
      </c>
      <c r="M129" s="37" t="s">
        <v>524</v>
      </c>
      <c r="N129" s="38" t="n">
        <f aca="false">IF($L129=0,O128,WORKDAY.INTL(O128,1,11))</f>
        <v>46765</v>
      </c>
      <c r="O129" s="38" t="n">
        <f aca="false">IF(L129=0,N129,WORKDAY.INTL(N129,L129-1,11))</f>
        <v>46776</v>
      </c>
      <c r="P129" s="34" t="s">
        <v>116</v>
      </c>
      <c r="Q129" s="39"/>
      <c r="R129" s="39"/>
      <c r="S129" s="40"/>
      <c r="T129" s="33" t="str">
        <f aca="false">IF(ISNUMBER(R129),"Completed",IF(ISNUMBER(Q129),"In Progress","Not Started"))</f>
        <v>Not Started</v>
      </c>
      <c r="U129" s="41"/>
    </row>
    <row r="130" customFormat="false" ht="15" hidden="false" customHeight="false" outlineLevel="2" collapsed="false">
      <c r="A130" s="33" t="s">
        <v>525</v>
      </c>
      <c r="B130" s="33" t="s">
        <v>526</v>
      </c>
      <c r="C130" s="34" t="s">
        <v>111</v>
      </c>
      <c r="D130" s="33" t="s">
        <v>492</v>
      </c>
      <c r="E130" s="33" t="s">
        <v>514</v>
      </c>
      <c r="F130" s="33" t="s">
        <v>527</v>
      </c>
      <c r="G130" s="33" t="s">
        <v>113</v>
      </c>
      <c r="H130" s="34" t="s">
        <v>494</v>
      </c>
      <c r="I130" s="33" t="s">
        <v>495</v>
      </c>
      <c r="J130" s="35" t="n">
        <v>2400</v>
      </c>
      <c r="K130" s="33" t="s">
        <v>167</v>
      </c>
      <c r="L130" s="36" t="n">
        <v>10</v>
      </c>
      <c r="M130" s="37" t="s">
        <v>528</v>
      </c>
      <c r="N130" s="38" t="n">
        <f aca="false">IF($L130=0,O129,WORKDAY.INTL(O129,1,11))</f>
        <v>46777</v>
      </c>
      <c r="O130" s="38" t="n">
        <f aca="false">IF(L130=0,N130,WORKDAY.INTL(N130,L130-1,11))</f>
        <v>46787</v>
      </c>
      <c r="P130" s="34" t="s">
        <v>116</v>
      </c>
      <c r="Q130" s="39"/>
      <c r="R130" s="39"/>
      <c r="S130" s="40"/>
      <c r="T130" s="33" t="str">
        <f aca="false">IF(ISNUMBER(R130),"Completed",IF(ISNUMBER(Q130),"In Progress","Not Started"))</f>
        <v>Not Started</v>
      </c>
      <c r="U130" s="41"/>
    </row>
    <row r="131" customFormat="false" ht="15" hidden="false" customHeight="false" outlineLevel="2" collapsed="false">
      <c r="A131" s="33" t="s">
        <v>529</v>
      </c>
      <c r="B131" s="33" t="s">
        <v>530</v>
      </c>
      <c r="C131" s="34" t="s">
        <v>111</v>
      </c>
      <c r="D131" s="33" t="s">
        <v>492</v>
      </c>
      <c r="E131" s="33" t="s">
        <v>514</v>
      </c>
      <c r="F131" s="33" t="s">
        <v>531</v>
      </c>
      <c r="G131" s="33" t="s">
        <v>113</v>
      </c>
      <c r="H131" s="34" t="s">
        <v>494</v>
      </c>
      <c r="I131" s="33" t="s">
        <v>495</v>
      </c>
      <c r="J131" s="35" t="n">
        <v>1</v>
      </c>
      <c r="K131" s="33" t="s">
        <v>114</v>
      </c>
      <c r="L131" s="36" t="n">
        <v>3</v>
      </c>
      <c r="M131" s="37" t="s">
        <v>528</v>
      </c>
      <c r="N131" s="38" t="n">
        <f aca="false">IF($L131=0,O129,WORKDAY.INTL(O129,1,11))</f>
        <v>46777</v>
      </c>
      <c r="O131" s="38" t="n">
        <f aca="false">IF(L131=0,N131,WORKDAY.INTL(N131,L131-1,11))</f>
        <v>46779</v>
      </c>
      <c r="P131" s="34" t="s">
        <v>116</v>
      </c>
      <c r="Q131" s="39"/>
      <c r="R131" s="39"/>
      <c r="S131" s="40"/>
      <c r="T131" s="33" t="str">
        <f aca="false">IF(ISNUMBER(R131),"Completed",IF(ISNUMBER(Q131),"In Progress","Not Started"))</f>
        <v>Not Started</v>
      </c>
      <c r="U131" s="41"/>
    </row>
    <row r="132" customFormat="false" ht="15" hidden="false" customHeight="false" outlineLevel="1" collapsed="false">
      <c r="A132" s="27" t="s">
        <v>532</v>
      </c>
      <c r="B132" s="27" t="s">
        <v>533</v>
      </c>
      <c r="C132" s="28" t="s">
        <v>107</v>
      </c>
      <c r="D132" s="27" t="s">
        <v>492</v>
      </c>
      <c r="E132" s="27" t="s">
        <v>490</v>
      </c>
      <c r="F132" s="27" t="s">
        <v>534</v>
      </c>
      <c r="G132" s="27" t="s">
        <v>102</v>
      </c>
      <c r="H132" s="28" t="s">
        <v>494</v>
      </c>
      <c r="I132" s="27" t="s">
        <v>495</v>
      </c>
      <c r="J132" s="29"/>
      <c r="K132" s="29"/>
      <c r="L132" s="30" t="n">
        <f aca="false">NETWORKDAYS.INTL(N132,O132,11)</f>
        <v>34</v>
      </c>
      <c r="M132" s="29"/>
      <c r="N132" s="31" t="n">
        <f aca="false">MIN(N133:N137)</f>
        <v>46765</v>
      </c>
      <c r="O132" s="31" t="n">
        <f aca="false">MAX(O133:O137)</f>
        <v>46804</v>
      </c>
      <c r="P132" s="28" t="s">
        <v>96</v>
      </c>
      <c r="Q132" s="31" t="str">
        <f aca="false">IF(COUNT(Q133:Q137)=0,"",MIN(Q133:Q137))</f>
        <v/>
      </c>
      <c r="R132" s="31" t="str">
        <f aca="false">IF(COUNTIFS(P133:P137,"Y")=COUNTIFS(P133:P137,"Y",R133:R137,"&gt;0"),MAX(R133:R137),"")</f>
        <v/>
      </c>
      <c r="S132" s="32" t="n">
        <f aca="false">IFERROR(SUMPRODUCT((P133:P137="Y")*L133:L137*S133:S137)/SUMIFS(L133:L137,P133:P137,"Y"),0)</f>
        <v>0</v>
      </c>
      <c r="T132" s="27" t="str">
        <f aca="false">IF(ISNUMBER(R132),"Completed",IF(ISNUMBER(Q132),"In Progress","Not Started"))</f>
        <v>Not Started</v>
      </c>
      <c r="U132" s="29"/>
    </row>
    <row r="133" customFormat="false" ht="23.85" hidden="false" customHeight="false" outlineLevel="2" collapsed="false">
      <c r="A133" s="33" t="s">
        <v>535</v>
      </c>
      <c r="B133" s="33" t="s">
        <v>536</v>
      </c>
      <c r="C133" s="34" t="s">
        <v>111</v>
      </c>
      <c r="D133" s="33" t="s">
        <v>492</v>
      </c>
      <c r="E133" s="33" t="s">
        <v>532</v>
      </c>
      <c r="F133" s="33" t="s">
        <v>519</v>
      </c>
      <c r="G133" s="33" t="s">
        <v>113</v>
      </c>
      <c r="H133" s="34" t="s">
        <v>494</v>
      </c>
      <c r="I133" s="33" t="s">
        <v>495</v>
      </c>
      <c r="J133" s="35" t="n">
        <v>140</v>
      </c>
      <c r="K133" s="33" t="s">
        <v>256</v>
      </c>
      <c r="L133" s="36" t="n">
        <v>10</v>
      </c>
      <c r="M133" s="37" t="s">
        <v>537</v>
      </c>
      <c r="N133" s="38" t="n">
        <f aca="false">MAX(IF($L133=0,O125,WORKDAY.INTL(O125,1,11)),IF($L133=0,O126,WORKDAY.INTL(O126,1,11)),IF($L133=0,O81,WORKDAY.INTL(O81,1,11)))</f>
        <v>46765</v>
      </c>
      <c r="O133" s="38" t="n">
        <f aca="false">IF(L133=0,N133,WORKDAY.INTL(N133,L133-1,11))</f>
        <v>46776</v>
      </c>
      <c r="P133" s="34" t="s">
        <v>116</v>
      </c>
      <c r="Q133" s="39"/>
      <c r="R133" s="39"/>
      <c r="S133" s="40"/>
      <c r="T133" s="33" t="str">
        <f aca="false">IF(ISNUMBER(R133),"Completed",IF(ISNUMBER(Q133),"In Progress","Not Started"))</f>
        <v>Not Started</v>
      </c>
      <c r="U133" s="41"/>
    </row>
    <row r="134" customFormat="false" ht="15" hidden="false" customHeight="false" outlineLevel="2" collapsed="false">
      <c r="A134" s="33" t="s">
        <v>538</v>
      </c>
      <c r="B134" s="33" t="s">
        <v>539</v>
      </c>
      <c r="C134" s="34" t="s">
        <v>111</v>
      </c>
      <c r="D134" s="33" t="s">
        <v>492</v>
      </c>
      <c r="E134" s="33" t="s">
        <v>532</v>
      </c>
      <c r="F134" s="33" t="s">
        <v>540</v>
      </c>
      <c r="G134" s="33" t="s">
        <v>113</v>
      </c>
      <c r="H134" s="34" t="s">
        <v>494</v>
      </c>
      <c r="I134" s="33" t="s">
        <v>495</v>
      </c>
      <c r="J134" s="35" t="n">
        <v>50</v>
      </c>
      <c r="K134" s="33" t="s">
        <v>256</v>
      </c>
      <c r="L134" s="36" t="n">
        <v>10</v>
      </c>
      <c r="M134" s="37" t="s">
        <v>541</v>
      </c>
      <c r="N134" s="38" t="n">
        <f aca="false">IF($L134=0,O133,WORKDAY.INTL(O133,1,11))</f>
        <v>46777</v>
      </c>
      <c r="O134" s="38" t="n">
        <f aca="false">IF(L134=0,N134,WORKDAY.INTL(N134,L134-1,11))</f>
        <v>46787</v>
      </c>
      <c r="P134" s="34" t="s">
        <v>116</v>
      </c>
      <c r="Q134" s="39"/>
      <c r="R134" s="39"/>
      <c r="S134" s="40"/>
      <c r="T134" s="33" t="str">
        <f aca="false">IF(ISNUMBER(R134),"Completed",IF(ISNUMBER(Q134),"In Progress","Not Started"))</f>
        <v>Not Started</v>
      </c>
      <c r="U134" s="41"/>
    </row>
    <row r="135" customFormat="false" ht="15" hidden="false" customHeight="false" outlineLevel="2" collapsed="false">
      <c r="A135" s="33" t="s">
        <v>542</v>
      </c>
      <c r="B135" s="33" t="s">
        <v>543</v>
      </c>
      <c r="C135" s="34" t="s">
        <v>111</v>
      </c>
      <c r="D135" s="33" t="s">
        <v>492</v>
      </c>
      <c r="E135" s="33" t="s">
        <v>532</v>
      </c>
      <c r="F135" s="33" t="s">
        <v>523</v>
      </c>
      <c r="G135" s="33" t="s">
        <v>113</v>
      </c>
      <c r="H135" s="34" t="s">
        <v>494</v>
      </c>
      <c r="I135" s="33" t="s">
        <v>495</v>
      </c>
      <c r="J135" s="35" t="n">
        <v>60</v>
      </c>
      <c r="K135" s="33" t="s">
        <v>256</v>
      </c>
      <c r="L135" s="36" t="n">
        <v>12</v>
      </c>
      <c r="M135" s="37" t="s">
        <v>541</v>
      </c>
      <c r="N135" s="38" t="n">
        <f aca="false">IF($L135=0,O133,WORKDAY.INTL(O133,1,11))</f>
        <v>46777</v>
      </c>
      <c r="O135" s="38" t="n">
        <f aca="false">IF(L135=0,N135,WORKDAY.INTL(N135,L135-1,11))</f>
        <v>46790</v>
      </c>
      <c r="P135" s="34" t="s">
        <v>116</v>
      </c>
      <c r="Q135" s="39"/>
      <c r="R135" s="39"/>
      <c r="S135" s="40"/>
      <c r="T135" s="33" t="str">
        <f aca="false">IF(ISNUMBER(R135),"Completed",IF(ISNUMBER(Q135),"In Progress","Not Started"))</f>
        <v>Not Started</v>
      </c>
      <c r="U135" s="41"/>
    </row>
    <row r="136" customFormat="false" ht="15" hidden="false" customHeight="false" outlineLevel="2" collapsed="false">
      <c r="A136" s="33" t="s">
        <v>544</v>
      </c>
      <c r="B136" s="33" t="s">
        <v>545</v>
      </c>
      <c r="C136" s="34" t="s">
        <v>111</v>
      </c>
      <c r="D136" s="33" t="s">
        <v>492</v>
      </c>
      <c r="E136" s="33" t="s">
        <v>532</v>
      </c>
      <c r="F136" s="33" t="s">
        <v>527</v>
      </c>
      <c r="G136" s="33" t="s">
        <v>113</v>
      </c>
      <c r="H136" s="34" t="s">
        <v>494</v>
      </c>
      <c r="I136" s="33" t="s">
        <v>495</v>
      </c>
      <c r="J136" s="35" t="n">
        <v>3200</v>
      </c>
      <c r="K136" s="33" t="s">
        <v>167</v>
      </c>
      <c r="L136" s="36" t="n">
        <v>12</v>
      </c>
      <c r="M136" s="37" t="s">
        <v>546</v>
      </c>
      <c r="N136" s="38" t="n">
        <f aca="false">IF($L136=0,O135,WORKDAY.INTL(O135,1,11))</f>
        <v>46791</v>
      </c>
      <c r="O136" s="38" t="n">
        <f aca="false">IF(L136=0,N136,WORKDAY.INTL(N136,L136-1,11))</f>
        <v>46804</v>
      </c>
      <c r="P136" s="34" t="s">
        <v>116</v>
      </c>
      <c r="Q136" s="39"/>
      <c r="R136" s="39"/>
      <c r="S136" s="40"/>
      <c r="T136" s="33" t="str">
        <f aca="false">IF(ISNUMBER(R136),"Completed",IF(ISNUMBER(Q136),"In Progress","Not Started"))</f>
        <v>Not Started</v>
      </c>
      <c r="U136" s="41"/>
    </row>
    <row r="137" customFormat="false" ht="15" hidden="false" customHeight="false" outlineLevel="2" collapsed="false">
      <c r="A137" s="33" t="s">
        <v>547</v>
      </c>
      <c r="B137" s="33" t="s">
        <v>548</v>
      </c>
      <c r="C137" s="34" t="s">
        <v>111</v>
      </c>
      <c r="D137" s="33" t="s">
        <v>492</v>
      </c>
      <c r="E137" s="33" t="s">
        <v>532</v>
      </c>
      <c r="F137" s="33" t="s">
        <v>549</v>
      </c>
      <c r="G137" s="33" t="s">
        <v>113</v>
      </c>
      <c r="H137" s="34" t="s">
        <v>494</v>
      </c>
      <c r="I137" s="33" t="s">
        <v>495</v>
      </c>
      <c r="J137" s="35" t="n">
        <v>30</v>
      </c>
      <c r="K137" s="33" t="s">
        <v>256</v>
      </c>
      <c r="L137" s="36" t="n">
        <v>12</v>
      </c>
      <c r="M137" s="37" t="s">
        <v>550</v>
      </c>
      <c r="N137" s="38" t="n">
        <f aca="false">IF($L137=0,O134,WORKDAY.INTL(O134,1,11))</f>
        <v>46788</v>
      </c>
      <c r="O137" s="38" t="n">
        <f aca="false">IF(L137=0,N137,WORKDAY.INTL(N137,L137-1,11))</f>
        <v>46801</v>
      </c>
      <c r="P137" s="34" t="s">
        <v>116</v>
      </c>
      <c r="Q137" s="39"/>
      <c r="R137" s="39"/>
      <c r="S137" s="40"/>
      <c r="T137" s="33" t="str">
        <f aca="false">IF(ISNUMBER(R137),"Completed",IF(ISNUMBER(Q137),"In Progress","Not Started"))</f>
        <v>Not Started</v>
      </c>
      <c r="U137" s="41"/>
    </row>
    <row r="138" customFormat="false" ht="15" hidden="false" customHeight="false" outlineLevel="1" collapsed="false">
      <c r="A138" s="27" t="s">
        <v>551</v>
      </c>
      <c r="B138" s="27" t="s">
        <v>552</v>
      </c>
      <c r="C138" s="28" t="s">
        <v>107</v>
      </c>
      <c r="D138" s="27" t="s">
        <v>492</v>
      </c>
      <c r="E138" s="27" t="s">
        <v>490</v>
      </c>
      <c r="F138" s="27" t="s">
        <v>553</v>
      </c>
      <c r="G138" s="27" t="s">
        <v>102</v>
      </c>
      <c r="H138" s="28" t="s">
        <v>494</v>
      </c>
      <c r="I138" s="27" t="s">
        <v>495</v>
      </c>
      <c r="J138" s="29"/>
      <c r="K138" s="29"/>
      <c r="L138" s="30" t="n">
        <f aca="false">NETWORKDAYS.INTL(N138,O138,11)</f>
        <v>10</v>
      </c>
      <c r="M138" s="29"/>
      <c r="N138" s="31" t="n">
        <f aca="false">MIN(N139:N139)</f>
        <v>46805</v>
      </c>
      <c r="O138" s="31" t="n">
        <f aca="false">MAX(O139:O139)</f>
        <v>46815</v>
      </c>
      <c r="P138" s="28" t="s">
        <v>96</v>
      </c>
      <c r="Q138" s="31" t="str">
        <f aca="false">IF(COUNT(Q139:Q139)=0,"",MIN(Q139:Q139))</f>
        <v/>
      </c>
      <c r="R138" s="31" t="str">
        <f aca="false">IF(COUNTIFS(P139:P139,"Y")=COUNTIFS(P139:P139,"Y",R139:R139,"&gt;0"),MAX(R139:R139),"")</f>
        <v/>
      </c>
      <c r="S138" s="32" t="n">
        <f aca="false">IFERROR(SUMPRODUCT((P139:P139="Y")*L139:L139*S139:S139)/SUMIFS(L139:L139,P139:P139,"Y"),0)</f>
        <v>0</v>
      </c>
      <c r="T138" s="27" t="str">
        <f aca="false">IF(ISNUMBER(R138),"Completed",IF(ISNUMBER(Q138),"In Progress","Not Started"))</f>
        <v>Not Started</v>
      </c>
      <c r="U138" s="29"/>
    </row>
    <row r="139" customFormat="false" ht="23.85" hidden="false" customHeight="false" outlineLevel="2" collapsed="false">
      <c r="A139" s="33" t="s">
        <v>554</v>
      </c>
      <c r="B139" s="33" t="s">
        <v>555</v>
      </c>
      <c r="C139" s="34" t="s">
        <v>111</v>
      </c>
      <c r="D139" s="33" t="s">
        <v>492</v>
      </c>
      <c r="E139" s="33" t="s">
        <v>551</v>
      </c>
      <c r="F139" s="33" t="s">
        <v>556</v>
      </c>
      <c r="G139" s="33" t="s">
        <v>113</v>
      </c>
      <c r="H139" s="34" t="s">
        <v>494</v>
      </c>
      <c r="I139" s="33" t="s">
        <v>495</v>
      </c>
      <c r="J139" s="35" t="n">
        <v>5600</v>
      </c>
      <c r="K139" s="33" t="s">
        <v>167</v>
      </c>
      <c r="L139" s="36" t="n">
        <v>10</v>
      </c>
      <c r="M139" s="37" t="s">
        <v>557</v>
      </c>
      <c r="N139" s="38" t="n">
        <f aca="false">MAX(IF($L139=0,O130,WORKDAY.INTL(O130,1,11)),IF($L139=0,O136,WORKDAY.INTL(O136,1,11)),IF($L139=0,O137,WORKDAY.INTL(O137,1,11)))</f>
        <v>46805</v>
      </c>
      <c r="O139" s="38" t="n">
        <f aca="false">IF(L139=0,N139,WORKDAY.INTL(N139,L139-1,11))</f>
        <v>46815</v>
      </c>
      <c r="P139" s="34" t="s">
        <v>116</v>
      </c>
      <c r="Q139" s="39"/>
      <c r="R139" s="39"/>
      <c r="S139" s="40"/>
      <c r="T139" s="33" t="str">
        <f aca="false">IF(ISNUMBER(R139),"Completed",IF(ISNUMBER(Q139),"In Progress","Not Started"))</f>
        <v>Not Started</v>
      </c>
      <c r="U139" s="41"/>
    </row>
    <row r="140" customFormat="false" ht="15" hidden="false" customHeight="false" outlineLevel="0" collapsed="false">
      <c r="A140" s="21" t="s">
        <v>558</v>
      </c>
      <c r="B140" s="21" t="s">
        <v>559</v>
      </c>
      <c r="C140" s="22" t="s">
        <v>99</v>
      </c>
      <c r="D140" s="21" t="s">
        <v>492</v>
      </c>
      <c r="E140" s="21" t="s">
        <v>492</v>
      </c>
      <c r="F140" s="21" t="s">
        <v>560</v>
      </c>
      <c r="G140" s="21" t="s">
        <v>102</v>
      </c>
      <c r="H140" s="22" t="s">
        <v>494</v>
      </c>
      <c r="I140" s="21" t="s">
        <v>495</v>
      </c>
      <c r="J140" s="23"/>
      <c r="K140" s="23"/>
      <c r="L140" s="24" t="n">
        <f aca="false">NETWORKDAYS.INTL(N140,O140,11)</f>
        <v>31</v>
      </c>
      <c r="M140" s="23"/>
      <c r="N140" s="25" t="n">
        <f aca="false">MIN(N141:N143)</f>
        <v>46706</v>
      </c>
      <c r="O140" s="25" t="n">
        <f aca="false">MAX(O141:O143)</f>
        <v>46741</v>
      </c>
      <c r="P140" s="22" t="s">
        <v>96</v>
      </c>
      <c r="Q140" s="25" t="str">
        <f aca="false">IF(COUNT(Q141:Q143)=0,"",MIN(Q141:Q143))</f>
        <v/>
      </c>
      <c r="R140" s="25" t="str">
        <f aca="false">IF(COUNTIFS(P141:P143,"Y")=COUNTIFS(P141:P143,"Y",R141:R143,"&gt;0"),MAX(R141:R143),"")</f>
        <v/>
      </c>
      <c r="S140" s="26" t="n">
        <f aca="false">IFERROR(SUMPRODUCT((P141:P143="Y")*L141:L143*S141:S143)/SUMIFS(L141:L143,P141:P143,"Y"),0)</f>
        <v>0</v>
      </c>
      <c r="T140" s="21" t="str">
        <f aca="false">IF(ISNUMBER(R140),"Completed",IF(ISNUMBER(Q140),"In Progress","Not Started"))</f>
        <v>Not Started</v>
      </c>
      <c r="U140" s="23"/>
    </row>
    <row r="141" customFormat="false" ht="15" hidden="false" customHeight="false" outlineLevel="1" collapsed="false">
      <c r="A141" s="27" t="s">
        <v>561</v>
      </c>
      <c r="B141" s="27" t="s">
        <v>562</v>
      </c>
      <c r="C141" s="28" t="s">
        <v>107</v>
      </c>
      <c r="D141" s="27" t="s">
        <v>492</v>
      </c>
      <c r="E141" s="27" t="s">
        <v>558</v>
      </c>
      <c r="F141" s="27" t="s">
        <v>563</v>
      </c>
      <c r="G141" s="27" t="s">
        <v>102</v>
      </c>
      <c r="H141" s="28" t="s">
        <v>494</v>
      </c>
      <c r="I141" s="27" t="s">
        <v>495</v>
      </c>
      <c r="J141" s="29"/>
      <c r="K141" s="29"/>
      <c r="L141" s="30" t="n">
        <f aca="false">NETWORKDAYS.INTL(N141,O141,11)</f>
        <v>31</v>
      </c>
      <c r="M141" s="29"/>
      <c r="N141" s="31" t="n">
        <f aca="false">MIN(N142:N143)</f>
        <v>46706</v>
      </c>
      <c r="O141" s="31" t="n">
        <f aca="false">MAX(O142:O143)</f>
        <v>46741</v>
      </c>
      <c r="P141" s="28" t="s">
        <v>96</v>
      </c>
      <c r="Q141" s="31" t="str">
        <f aca="false">IF(COUNT(Q142:Q143)=0,"",MIN(Q142:Q143))</f>
        <v/>
      </c>
      <c r="R141" s="31" t="str">
        <f aca="false">IF(COUNTIFS(P142:P143,"Y")=COUNTIFS(P142:P143,"Y",R142:R143,"&gt;0"),MAX(R142:R143),"")</f>
        <v/>
      </c>
      <c r="S141" s="32" t="n">
        <f aca="false">IFERROR(SUMPRODUCT((P142:P143="Y")*L142:L143*S142:S143)/SUMIFS(L142:L143,P142:P143,"Y"),0)</f>
        <v>0</v>
      </c>
      <c r="T141" s="27" t="str">
        <f aca="false">IF(ISNUMBER(R141),"Completed",IF(ISNUMBER(Q141),"In Progress","Not Started"))</f>
        <v>Not Started</v>
      </c>
      <c r="U141" s="29"/>
    </row>
    <row r="142" customFormat="false" ht="15" hidden="false" customHeight="false" outlineLevel="2" collapsed="false">
      <c r="A142" s="33" t="s">
        <v>564</v>
      </c>
      <c r="B142" s="33" t="s">
        <v>565</v>
      </c>
      <c r="C142" s="34" t="s">
        <v>111</v>
      </c>
      <c r="D142" s="33" t="s">
        <v>492</v>
      </c>
      <c r="E142" s="33" t="s">
        <v>561</v>
      </c>
      <c r="F142" s="33" t="s">
        <v>566</v>
      </c>
      <c r="G142" s="33" t="s">
        <v>113</v>
      </c>
      <c r="H142" s="34" t="s">
        <v>494</v>
      </c>
      <c r="I142" s="33" t="s">
        <v>495</v>
      </c>
      <c r="J142" s="35" t="n">
        <v>45</v>
      </c>
      <c r="K142" s="33" t="s">
        <v>256</v>
      </c>
      <c r="L142" s="36" t="n">
        <v>12</v>
      </c>
      <c r="M142" s="37" t="s">
        <v>506</v>
      </c>
      <c r="N142" s="38" t="n">
        <f aca="false">IF($L142=0,O123,WORKDAY.INTL(O123,1,11))</f>
        <v>46706</v>
      </c>
      <c r="O142" s="38" t="n">
        <f aca="false">IF(L142=0,N142,WORKDAY.INTL(N142,L142-1,11))</f>
        <v>46718</v>
      </c>
      <c r="P142" s="34" t="s">
        <v>116</v>
      </c>
      <c r="Q142" s="39"/>
      <c r="R142" s="39"/>
      <c r="S142" s="40"/>
      <c r="T142" s="33" t="str">
        <f aca="false">IF(ISNUMBER(R142),"Completed",IF(ISNUMBER(Q142),"In Progress","Not Started"))</f>
        <v>Not Started</v>
      </c>
      <c r="U142" s="41"/>
    </row>
    <row r="143" customFormat="false" ht="15" hidden="false" customHeight="false" outlineLevel="2" collapsed="false">
      <c r="A143" s="33" t="s">
        <v>567</v>
      </c>
      <c r="B143" s="33" t="s">
        <v>568</v>
      </c>
      <c r="C143" s="34" t="s">
        <v>111</v>
      </c>
      <c r="D143" s="33" t="s">
        <v>492</v>
      </c>
      <c r="E143" s="33" t="s">
        <v>561</v>
      </c>
      <c r="F143" s="33" t="s">
        <v>569</v>
      </c>
      <c r="G143" s="33" t="s">
        <v>113</v>
      </c>
      <c r="H143" s="34" t="s">
        <v>494</v>
      </c>
      <c r="I143" s="33" t="s">
        <v>495</v>
      </c>
      <c r="J143" s="35" t="n">
        <v>1500</v>
      </c>
      <c r="K143" s="33" t="s">
        <v>167</v>
      </c>
      <c r="L143" s="36" t="n">
        <v>14</v>
      </c>
      <c r="M143" s="37" t="s">
        <v>570</v>
      </c>
      <c r="N143" s="38" t="n">
        <f aca="false">MAX(IF($L143=0,O142,WORKDAY.INTL(O142,1,11)),IF($L143=0,O95,WORKDAY.INTL(O95,1,11)))</f>
        <v>46725</v>
      </c>
      <c r="O143" s="38" t="n">
        <f aca="false">IF(L143=0,N143,WORKDAY.INTL(N143,L143-1,11))</f>
        <v>46741</v>
      </c>
      <c r="P143" s="34" t="s">
        <v>116</v>
      </c>
      <c r="Q143" s="39"/>
      <c r="R143" s="39"/>
      <c r="S143" s="40"/>
      <c r="T143" s="33" t="str">
        <f aca="false">IF(ISNUMBER(R143),"Completed",IF(ISNUMBER(Q143),"In Progress","Not Started"))</f>
        <v>Not Started</v>
      </c>
      <c r="U143" s="41"/>
    </row>
    <row r="144" customFormat="false" ht="15" hidden="false" customHeight="false" outlineLevel="0" collapsed="false">
      <c r="A144" s="21" t="s">
        <v>571</v>
      </c>
      <c r="B144" s="21" t="s">
        <v>572</v>
      </c>
      <c r="C144" s="22" t="s">
        <v>99</v>
      </c>
      <c r="D144" s="21" t="s">
        <v>573</v>
      </c>
      <c r="E144" s="21" t="s">
        <v>573</v>
      </c>
      <c r="F144" s="21" t="s">
        <v>574</v>
      </c>
      <c r="G144" s="21" t="s">
        <v>102</v>
      </c>
      <c r="H144" s="22" t="s">
        <v>575</v>
      </c>
      <c r="I144" s="21" t="s">
        <v>576</v>
      </c>
      <c r="J144" s="23"/>
      <c r="K144" s="23"/>
      <c r="L144" s="24" t="n">
        <f aca="false">NETWORKDAYS.INTL(N144,O144,11)</f>
        <v>22</v>
      </c>
      <c r="M144" s="23"/>
      <c r="N144" s="25" t="n">
        <f aca="false">MIN(N145:N155)</f>
        <v>46834</v>
      </c>
      <c r="O144" s="25" t="n">
        <f aca="false">MAX(O145:O155)</f>
        <v>46858</v>
      </c>
      <c r="P144" s="22" t="s">
        <v>96</v>
      </c>
      <c r="Q144" s="25" t="str">
        <f aca="false">IF(COUNT(Q145:Q155)=0,"",MIN(Q145:Q155))</f>
        <v/>
      </c>
      <c r="R144" s="25" t="str">
        <f aca="false">IF(COUNTIFS(P145:P155,"Y")=COUNTIFS(P145:P155,"Y",R145:R155,"&gt;0"),MAX(R145:R155),"")</f>
        <v/>
      </c>
      <c r="S144" s="26" t="n">
        <f aca="false">IFERROR(SUMPRODUCT((P145:P155="Y")*L145:L155*S145:S155)/SUMIFS(L145:L155,P145:P155,"Y"),0)</f>
        <v>0</v>
      </c>
      <c r="T144" s="21" t="str">
        <f aca="false">IF(ISNUMBER(R144),"Completed",IF(ISNUMBER(Q144),"In Progress","Not Started"))</f>
        <v>Not Started</v>
      </c>
      <c r="U144" s="23"/>
    </row>
    <row r="145" customFormat="false" ht="15" hidden="false" customHeight="false" outlineLevel="1" collapsed="false">
      <c r="A145" s="27" t="s">
        <v>577</v>
      </c>
      <c r="B145" s="27" t="s">
        <v>578</v>
      </c>
      <c r="C145" s="28" t="s">
        <v>107</v>
      </c>
      <c r="D145" s="27" t="s">
        <v>573</v>
      </c>
      <c r="E145" s="27" t="s">
        <v>571</v>
      </c>
      <c r="F145" s="27" t="s">
        <v>579</v>
      </c>
      <c r="G145" s="27" t="s">
        <v>102</v>
      </c>
      <c r="H145" s="28" t="s">
        <v>575</v>
      </c>
      <c r="I145" s="27" t="s">
        <v>576</v>
      </c>
      <c r="J145" s="29"/>
      <c r="K145" s="29"/>
      <c r="L145" s="30" t="n">
        <f aca="false">NETWORKDAYS.INTL(N145,O145,11)</f>
        <v>22</v>
      </c>
      <c r="M145" s="29"/>
      <c r="N145" s="31" t="n">
        <f aca="false">MIN(N146:N150)</f>
        <v>46834</v>
      </c>
      <c r="O145" s="31" t="n">
        <f aca="false">MAX(O146:O150)</f>
        <v>46858</v>
      </c>
      <c r="P145" s="28" t="s">
        <v>96</v>
      </c>
      <c r="Q145" s="31" t="str">
        <f aca="false">IF(COUNT(Q146:Q150)=0,"",MIN(Q146:Q150))</f>
        <v/>
      </c>
      <c r="R145" s="31" t="str">
        <f aca="false">IF(COUNTIFS(P146:P150,"Y")=COUNTIFS(P146:P150,"Y",R146:R150,"&gt;0"),MAX(R146:R150),"")</f>
        <v/>
      </c>
      <c r="S145" s="32" t="n">
        <f aca="false">IFERROR(SUMPRODUCT((P146:P150="Y")*L146:L150*S146:S150)/SUMIFS(L146:L150,P146:P150,"Y"),0)</f>
        <v>0</v>
      </c>
      <c r="T145" s="27" t="str">
        <f aca="false">IF(ISNUMBER(R145),"Completed",IF(ISNUMBER(Q145),"In Progress","Not Started"))</f>
        <v>Not Started</v>
      </c>
      <c r="U145" s="29"/>
    </row>
    <row r="146" customFormat="false" ht="15" hidden="false" customHeight="false" outlineLevel="2" collapsed="false">
      <c r="A146" s="33" t="s">
        <v>580</v>
      </c>
      <c r="B146" s="33" t="s">
        <v>581</v>
      </c>
      <c r="C146" s="34" t="s">
        <v>111</v>
      </c>
      <c r="D146" s="33" t="s">
        <v>573</v>
      </c>
      <c r="E146" s="33" t="s">
        <v>577</v>
      </c>
      <c r="F146" s="33" t="s">
        <v>582</v>
      </c>
      <c r="G146" s="33" t="s">
        <v>113</v>
      </c>
      <c r="H146" s="34" t="s">
        <v>575</v>
      </c>
      <c r="I146" s="33" t="s">
        <v>576</v>
      </c>
      <c r="J146" s="35" t="n">
        <v>1</v>
      </c>
      <c r="K146" s="33" t="s">
        <v>151</v>
      </c>
      <c r="L146" s="36" t="n">
        <v>6</v>
      </c>
      <c r="M146" s="37" t="s">
        <v>583</v>
      </c>
      <c r="N146" s="38" t="n">
        <f aca="false">MAX(IF($L146=0,O7,WORKDAY.INTL(O7,1,11)),IF($L146=0,O78,WORKDAY.INTL(O78,1,11)))</f>
        <v>46834</v>
      </c>
      <c r="O146" s="38" t="n">
        <f aca="false">IF(L146=0,N146,WORKDAY.INTL(N146,L146-1,11))</f>
        <v>46840</v>
      </c>
      <c r="P146" s="34" t="s">
        <v>116</v>
      </c>
      <c r="Q146" s="39"/>
      <c r="R146" s="39"/>
      <c r="S146" s="40"/>
      <c r="T146" s="33" t="str">
        <f aca="false">IF(ISNUMBER(R146),"Completed",IF(ISNUMBER(Q146),"In Progress","Not Started"))</f>
        <v>Not Started</v>
      </c>
      <c r="U146" s="41"/>
    </row>
    <row r="147" customFormat="false" ht="15" hidden="false" customHeight="false" outlineLevel="2" collapsed="false">
      <c r="A147" s="33" t="s">
        <v>584</v>
      </c>
      <c r="B147" s="33" t="s">
        <v>585</v>
      </c>
      <c r="C147" s="34" t="s">
        <v>111</v>
      </c>
      <c r="D147" s="33" t="s">
        <v>573</v>
      </c>
      <c r="E147" s="33" t="s">
        <v>577</v>
      </c>
      <c r="F147" s="33" t="s">
        <v>586</v>
      </c>
      <c r="G147" s="33" t="s">
        <v>113</v>
      </c>
      <c r="H147" s="34" t="s">
        <v>575</v>
      </c>
      <c r="I147" s="33" t="s">
        <v>576</v>
      </c>
      <c r="J147" s="35" t="n">
        <v>1</v>
      </c>
      <c r="K147" s="33" t="s">
        <v>151</v>
      </c>
      <c r="L147" s="36" t="n">
        <v>4</v>
      </c>
      <c r="M147" s="37" t="s">
        <v>587</v>
      </c>
      <c r="N147" s="38" t="n">
        <f aca="false">IF($L147=0,O146,WORKDAY.INTL(O146,1,11))</f>
        <v>46841</v>
      </c>
      <c r="O147" s="38" t="n">
        <f aca="false">IF(L147=0,N147,WORKDAY.INTL(N147,L147-1,11))</f>
        <v>46844</v>
      </c>
      <c r="P147" s="34" t="s">
        <v>116</v>
      </c>
      <c r="Q147" s="39"/>
      <c r="R147" s="39"/>
      <c r="S147" s="40"/>
      <c r="T147" s="33" t="str">
        <f aca="false">IF(ISNUMBER(R147),"Completed",IF(ISNUMBER(Q147),"In Progress","Not Started"))</f>
        <v>Not Started</v>
      </c>
      <c r="U147" s="41"/>
    </row>
    <row r="148" customFormat="false" ht="23.85" hidden="false" customHeight="false" outlineLevel="2" collapsed="false">
      <c r="A148" s="33" t="s">
        <v>588</v>
      </c>
      <c r="B148" s="33" t="s">
        <v>589</v>
      </c>
      <c r="C148" s="34" t="s">
        <v>111</v>
      </c>
      <c r="D148" s="33" t="s">
        <v>573</v>
      </c>
      <c r="E148" s="33" t="s">
        <v>577</v>
      </c>
      <c r="F148" s="33" t="s">
        <v>590</v>
      </c>
      <c r="G148" s="33" t="s">
        <v>113</v>
      </c>
      <c r="H148" s="34" t="s">
        <v>575</v>
      </c>
      <c r="I148" s="33" t="s">
        <v>576</v>
      </c>
      <c r="J148" s="35" t="n">
        <v>9</v>
      </c>
      <c r="K148" s="33" t="s">
        <v>151</v>
      </c>
      <c r="L148" s="36" t="n">
        <v>14</v>
      </c>
      <c r="M148" s="37" t="s">
        <v>591</v>
      </c>
      <c r="N148" s="38" t="n">
        <f aca="false">MAX(IF($L148=0,O7,WORKDAY.INTL(O7,1,11)),IF($L148=0,O76,WORKDAY.INTL(O76,1,11)),IF($L148=0,O137,WORKDAY.INTL(O137,1,11)))</f>
        <v>46834</v>
      </c>
      <c r="O148" s="38" t="n">
        <f aca="false">IF(L148=0,N148,WORKDAY.INTL(N148,L148-1,11))</f>
        <v>46849</v>
      </c>
      <c r="P148" s="34" t="s">
        <v>116</v>
      </c>
      <c r="Q148" s="39"/>
      <c r="R148" s="39"/>
      <c r="S148" s="40"/>
      <c r="T148" s="33" t="str">
        <f aca="false">IF(ISNUMBER(R148),"Completed",IF(ISNUMBER(Q148),"In Progress","Not Started"))</f>
        <v>Not Started</v>
      </c>
      <c r="U148" s="41"/>
    </row>
    <row r="149" customFormat="false" ht="15" hidden="false" customHeight="false" outlineLevel="2" collapsed="false">
      <c r="A149" s="33" t="s">
        <v>592</v>
      </c>
      <c r="B149" s="33" t="s">
        <v>593</v>
      </c>
      <c r="C149" s="34" t="s">
        <v>111</v>
      </c>
      <c r="D149" s="33" t="s">
        <v>573</v>
      </c>
      <c r="E149" s="33" t="s">
        <v>577</v>
      </c>
      <c r="F149" s="33" t="s">
        <v>594</v>
      </c>
      <c r="G149" s="33" t="s">
        <v>113</v>
      </c>
      <c r="H149" s="34" t="s">
        <v>575</v>
      </c>
      <c r="I149" s="33" t="s">
        <v>576</v>
      </c>
      <c r="J149" s="35" t="n">
        <v>9</v>
      </c>
      <c r="K149" s="33" t="s">
        <v>151</v>
      </c>
      <c r="L149" s="36" t="n">
        <v>8</v>
      </c>
      <c r="M149" s="37" t="s">
        <v>595</v>
      </c>
      <c r="N149" s="38" t="n">
        <f aca="false">IF($L149=0,O148,WORKDAY.INTL(O148,1,11))</f>
        <v>46850</v>
      </c>
      <c r="O149" s="38" t="n">
        <f aca="false">IF(L149=0,N149,WORKDAY.INTL(N149,L149-1,11))</f>
        <v>46858</v>
      </c>
      <c r="P149" s="34" t="s">
        <v>116</v>
      </c>
      <c r="Q149" s="39"/>
      <c r="R149" s="39"/>
      <c r="S149" s="40"/>
      <c r="T149" s="33" t="str">
        <f aca="false">IF(ISNUMBER(R149),"Completed",IF(ISNUMBER(Q149),"In Progress","Not Started"))</f>
        <v>Not Started</v>
      </c>
      <c r="U149" s="41"/>
    </row>
    <row r="150" customFormat="false" ht="15" hidden="false" customHeight="false" outlineLevel="2" collapsed="false">
      <c r="A150" s="33" t="s">
        <v>596</v>
      </c>
      <c r="B150" s="33" t="s">
        <v>597</v>
      </c>
      <c r="C150" s="34" t="s">
        <v>111</v>
      </c>
      <c r="D150" s="33" t="s">
        <v>573</v>
      </c>
      <c r="E150" s="33" t="s">
        <v>577</v>
      </c>
      <c r="F150" s="33" t="s">
        <v>598</v>
      </c>
      <c r="G150" s="33" t="s">
        <v>113</v>
      </c>
      <c r="H150" s="34" t="s">
        <v>575</v>
      </c>
      <c r="I150" s="33" t="s">
        <v>576</v>
      </c>
      <c r="J150" s="35" t="n">
        <v>2</v>
      </c>
      <c r="K150" s="33" t="s">
        <v>151</v>
      </c>
      <c r="L150" s="36" t="n">
        <v>5</v>
      </c>
      <c r="M150" s="37" t="s">
        <v>599</v>
      </c>
      <c r="N150" s="38" t="n">
        <f aca="false">WORKDAY.INTL(N149,3,11)</f>
        <v>46854</v>
      </c>
      <c r="O150" s="38" t="n">
        <f aca="false">IF(L150=0,N150,WORKDAY.INTL(N150,L150-1,11))</f>
        <v>46858</v>
      </c>
      <c r="P150" s="34" t="s">
        <v>116</v>
      </c>
      <c r="Q150" s="39"/>
      <c r="R150" s="39"/>
      <c r="S150" s="40"/>
      <c r="T150" s="33" t="str">
        <f aca="false">IF(ISNUMBER(R150),"Completed",IF(ISNUMBER(Q150),"In Progress","Not Started"))</f>
        <v>Not Started</v>
      </c>
      <c r="U150" s="41"/>
    </row>
    <row r="151" customFormat="false" ht="15" hidden="false" customHeight="false" outlineLevel="1" collapsed="false">
      <c r="A151" s="27" t="s">
        <v>600</v>
      </c>
      <c r="B151" s="27" t="s">
        <v>601</v>
      </c>
      <c r="C151" s="28" t="s">
        <v>107</v>
      </c>
      <c r="D151" s="27" t="s">
        <v>573</v>
      </c>
      <c r="E151" s="27" t="s">
        <v>571</v>
      </c>
      <c r="F151" s="27" t="s">
        <v>602</v>
      </c>
      <c r="G151" s="27" t="s">
        <v>102</v>
      </c>
      <c r="H151" s="28" t="s">
        <v>575</v>
      </c>
      <c r="I151" s="27" t="s">
        <v>576</v>
      </c>
      <c r="J151" s="29"/>
      <c r="K151" s="29"/>
      <c r="L151" s="30" t="n">
        <f aca="false">NETWORKDAYS.INTL(N151,O151,11)</f>
        <v>10</v>
      </c>
      <c r="M151" s="29"/>
      <c r="N151" s="31" t="n">
        <f aca="false">MIN(N152:N155)</f>
        <v>46846</v>
      </c>
      <c r="O151" s="31" t="n">
        <f aca="false">MAX(O152:O155)</f>
        <v>46856</v>
      </c>
      <c r="P151" s="28" t="s">
        <v>96</v>
      </c>
      <c r="Q151" s="31" t="str">
        <f aca="false">IF(COUNT(Q152:Q155)=0,"",MIN(Q152:Q155))</f>
        <v/>
      </c>
      <c r="R151" s="31" t="str">
        <f aca="false">IF(COUNTIFS(P152:P155,"Y")=COUNTIFS(P152:P155,"Y",R152:R155,"&gt;0"),MAX(R152:R155),"")</f>
        <v/>
      </c>
      <c r="S151" s="32" t="n">
        <f aca="false">IFERROR(SUMPRODUCT((P152:P155="Y")*L152:L155*S152:S155)/SUMIFS(L152:L155,P152:P155,"Y"),0)</f>
        <v>0</v>
      </c>
      <c r="T151" s="27" t="str">
        <f aca="false">IF(ISNUMBER(R151),"Completed",IF(ISNUMBER(Q151),"In Progress","Not Started"))</f>
        <v>Not Started</v>
      </c>
      <c r="U151" s="29"/>
    </row>
    <row r="152" customFormat="false" ht="15" hidden="false" customHeight="false" outlineLevel="2" collapsed="false">
      <c r="A152" s="33" t="s">
        <v>603</v>
      </c>
      <c r="B152" s="33" t="s">
        <v>604</v>
      </c>
      <c r="C152" s="34" t="s">
        <v>111</v>
      </c>
      <c r="D152" s="33" t="s">
        <v>573</v>
      </c>
      <c r="E152" s="33" t="s">
        <v>600</v>
      </c>
      <c r="F152" s="33" t="s">
        <v>605</v>
      </c>
      <c r="G152" s="33" t="s">
        <v>113</v>
      </c>
      <c r="H152" s="34" t="s">
        <v>575</v>
      </c>
      <c r="I152" s="33" t="s">
        <v>576</v>
      </c>
      <c r="J152" s="35" t="n">
        <v>1</v>
      </c>
      <c r="K152" s="33" t="s">
        <v>151</v>
      </c>
      <c r="L152" s="36" t="n">
        <v>7</v>
      </c>
      <c r="M152" s="37" t="s">
        <v>606</v>
      </c>
      <c r="N152" s="38" t="n">
        <f aca="false">MAX(IF($L152=0,O8,WORKDAY.INTL(O8,1,11)),IF($L152=0,O78,WORKDAY.INTL(O78,1,11)))</f>
        <v>46846</v>
      </c>
      <c r="O152" s="38" t="n">
        <f aca="false">IF(L152=0,N152,WORKDAY.INTL(N152,L152-1,11))</f>
        <v>46853</v>
      </c>
      <c r="P152" s="34" t="s">
        <v>116</v>
      </c>
      <c r="Q152" s="39"/>
      <c r="R152" s="39"/>
      <c r="S152" s="40"/>
      <c r="T152" s="33" t="str">
        <f aca="false">IF(ISNUMBER(R152),"Completed",IF(ISNUMBER(Q152),"In Progress","Not Started"))</f>
        <v>Not Started</v>
      </c>
      <c r="U152" s="41"/>
    </row>
    <row r="153" customFormat="false" ht="15" hidden="false" customHeight="false" outlineLevel="2" collapsed="false">
      <c r="A153" s="33" t="s">
        <v>607</v>
      </c>
      <c r="B153" s="33" t="s">
        <v>608</v>
      </c>
      <c r="C153" s="34" t="s">
        <v>111</v>
      </c>
      <c r="D153" s="33" t="s">
        <v>573</v>
      </c>
      <c r="E153" s="33" t="s">
        <v>600</v>
      </c>
      <c r="F153" s="33" t="s">
        <v>609</v>
      </c>
      <c r="G153" s="33" t="s">
        <v>113</v>
      </c>
      <c r="H153" s="34" t="s">
        <v>575</v>
      </c>
      <c r="I153" s="33" t="s">
        <v>576</v>
      </c>
      <c r="J153" s="35" t="n">
        <v>1</v>
      </c>
      <c r="K153" s="33" t="s">
        <v>151</v>
      </c>
      <c r="L153" s="36" t="n">
        <v>3</v>
      </c>
      <c r="M153" s="37" t="s">
        <v>610</v>
      </c>
      <c r="N153" s="38" t="n">
        <f aca="false">IF($L153=0,O152,WORKDAY.INTL(O152,1,11))</f>
        <v>46854</v>
      </c>
      <c r="O153" s="38" t="n">
        <f aca="false">IF(L153=0,N153,WORKDAY.INTL(N153,L153-1,11))</f>
        <v>46856</v>
      </c>
      <c r="P153" s="34" t="s">
        <v>116</v>
      </c>
      <c r="Q153" s="39"/>
      <c r="R153" s="39"/>
      <c r="S153" s="40"/>
      <c r="T153" s="33" t="str">
        <f aca="false">IF(ISNUMBER(R153),"Completed",IF(ISNUMBER(Q153),"In Progress","Not Started"))</f>
        <v>Not Started</v>
      </c>
      <c r="U153" s="41"/>
    </row>
    <row r="154" customFormat="false" ht="15" hidden="false" customHeight="false" outlineLevel="2" collapsed="false">
      <c r="A154" s="33" t="s">
        <v>611</v>
      </c>
      <c r="B154" s="33" t="s">
        <v>612</v>
      </c>
      <c r="C154" s="34" t="s">
        <v>111</v>
      </c>
      <c r="D154" s="33" t="s">
        <v>573</v>
      </c>
      <c r="E154" s="33" t="s">
        <v>600</v>
      </c>
      <c r="F154" s="33" t="s">
        <v>613</v>
      </c>
      <c r="G154" s="33" t="s">
        <v>113</v>
      </c>
      <c r="H154" s="34" t="s">
        <v>575</v>
      </c>
      <c r="I154" s="33" t="s">
        <v>576</v>
      </c>
      <c r="J154" s="35" t="n">
        <v>1</v>
      </c>
      <c r="K154" s="33" t="s">
        <v>151</v>
      </c>
      <c r="L154" s="36" t="n">
        <v>6</v>
      </c>
      <c r="M154" s="37" t="s">
        <v>606</v>
      </c>
      <c r="N154" s="38" t="n">
        <f aca="false">MAX(IF($L154=0,O8,WORKDAY.INTL(O8,1,11)),IF($L154=0,O78,WORKDAY.INTL(O78,1,11)))</f>
        <v>46846</v>
      </c>
      <c r="O154" s="38" t="n">
        <f aca="false">IF(L154=0,N154,WORKDAY.INTL(N154,L154-1,11))</f>
        <v>46851</v>
      </c>
      <c r="P154" s="34" t="s">
        <v>116</v>
      </c>
      <c r="Q154" s="39"/>
      <c r="R154" s="39"/>
      <c r="S154" s="40"/>
      <c r="T154" s="33" t="str">
        <f aca="false">IF(ISNUMBER(R154),"Completed",IF(ISNUMBER(Q154),"In Progress","Not Started"))</f>
        <v>Not Started</v>
      </c>
      <c r="U154" s="41"/>
    </row>
    <row r="155" customFormat="false" ht="15" hidden="false" customHeight="false" outlineLevel="2" collapsed="false">
      <c r="A155" s="33" t="s">
        <v>614</v>
      </c>
      <c r="B155" s="33" t="s">
        <v>615</v>
      </c>
      <c r="C155" s="34" t="s">
        <v>111</v>
      </c>
      <c r="D155" s="33" t="s">
        <v>573</v>
      </c>
      <c r="E155" s="33" t="s">
        <v>600</v>
      </c>
      <c r="F155" s="33" t="s">
        <v>616</v>
      </c>
      <c r="G155" s="33" t="s">
        <v>113</v>
      </c>
      <c r="H155" s="34" t="s">
        <v>575</v>
      </c>
      <c r="I155" s="33" t="s">
        <v>576</v>
      </c>
      <c r="J155" s="35" t="n">
        <v>1</v>
      </c>
      <c r="K155" s="33" t="s">
        <v>151</v>
      </c>
      <c r="L155" s="36" t="n">
        <v>4</v>
      </c>
      <c r="M155" s="37" t="s">
        <v>617</v>
      </c>
      <c r="N155" s="38" t="n">
        <f aca="false">IF($L155=0,O154,WORKDAY.INTL(O154,1,11))</f>
        <v>46853</v>
      </c>
      <c r="O155" s="38" t="n">
        <f aca="false">IF(L155=0,N155,WORKDAY.INTL(N155,L155-1,11))</f>
        <v>46856</v>
      </c>
      <c r="P155" s="34" t="s">
        <v>116</v>
      </c>
      <c r="Q155" s="39"/>
      <c r="R155" s="39"/>
      <c r="S155" s="40"/>
      <c r="T155" s="33" t="str">
        <f aca="false">IF(ISNUMBER(R155),"Completed",IF(ISNUMBER(Q155),"In Progress","Not Started"))</f>
        <v>Not Started</v>
      </c>
      <c r="U155" s="41"/>
    </row>
    <row r="156" customFormat="false" ht="15" hidden="false" customHeight="false" outlineLevel="0" collapsed="false">
      <c r="A156" s="21" t="s">
        <v>618</v>
      </c>
      <c r="B156" s="21" t="s">
        <v>619</v>
      </c>
      <c r="C156" s="22" t="s">
        <v>99</v>
      </c>
      <c r="D156" s="21" t="s">
        <v>573</v>
      </c>
      <c r="E156" s="21" t="s">
        <v>573</v>
      </c>
      <c r="F156" s="21" t="s">
        <v>620</v>
      </c>
      <c r="G156" s="21" t="s">
        <v>102</v>
      </c>
      <c r="H156" s="22" t="s">
        <v>575</v>
      </c>
      <c r="I156" s="21" t="s">
        <v>576</v>
      </c>
      <c r="J156" s="23"/>
      <c r="K156" s="23"/>
      <c r="L156" s="24" t="n">
        <f aca="false">NETWORKDAYS.INTL(N156,O156,11)</f>
        <v>17</v>
      </c>
      <c r="M156" s="23"/>
      <c r="N156" s="25" t="n">
        <f aca="false">MIN(N157:N165)</f>
        <v>46834</v>
      </c>
      <c r="O156" s="25" t="n">
        <f aca="false">MAX(O157:O165)</f>
        <v>46853</v>
      </c>
      <c r="P156" s="22" t="s">
        <v>96</v>
      </c>
      <c r="Q156" s="25" t="str">
        <f aca="false">IF(COUNT(Q157:Q165)=0,"",MIN(Q157:Q165))</f>
        <v/>
      </c>
      <c r="R156" s="25" t="str">
        <f aca="false">IF(COUNTIFS(P157:P165,"Y")=COUNTIFS(P157:P165,"Y",R157:R165,"&gt;0"),MAX(R157:R165),"")</f>
        <v/>
      </c>
      <c r="S156" s="26" t="n">
        <f aca="false">IFERROR(SUMPRODUCT((P157:P165="Y")*L157:L165*S157:S165)/SUMIFS(L157:L165,P157:P165,"Y"),0)</f>
        <v>0</v>
      </c>
      <c r="T156" s="21" t="str">
        <f aca="false">IF(ISNUMBER(R156),"Completed",IF(ISNUMBER(Q156),"In Progress","Not Started"))</f>
        <v>Not Started</v>
      </c>
      <c r="U156" s="23"/>
    </row>
    <row r="157" customFormat="false" ht="15" hidden="false" customHeight="false" outlineLevel="1" collapsed="false">
      <c r="A157" s="27" t="s">
        <v>621</v>
      </c>
      <c r="B157" s="27" t="s">
        <v>622</v>
      </c>
      <c r="C157" s="28" t="s">
        <v>107</v>
      </c>
      <c r="D157" s="27" t="s">
        <v>573</v>
      </c>
      <c r="E157" s="27" t="s">
        <v>618</v>
      </c>
      <c r="F157" s="27" t="s">
        <v>623</v>
      </c>
      <c r="G157" s="27" t="s">
        <v>102</v>
      </c>
      <c r="H157" s="28" t="s">
        <v>575</v>
      </c>
      <c r="I157" s="27" t="s">
        <v>576</v>
      </c>
      <c r="J157" s="29"/>
      <c r="K157" s="29"/>
      <c r="L157" s="30" t="n">
        <f aca="false">NETWORKDAYS.INTL(N157,O157,11)</f>
        <v>10</v>
      </c>
      <c r="M157" s="29"/>
      <c r="N157" s="31" t="n">
        <f aca="false">MIN(N158:N160)</f>
        <v>46840</v>
      </c>
      <c r="O157" s="31" t="n">
        <f aca="false">MAX(O158:O160)</f>
        <v>46850</v>
      </c>
      <c r="P157" s="28" t="s">
        <v>96</v>
      </c>
      <c r="Q157" s="31" t="str">
        <f aca="false">IF(COUNT(Q158:Q160)=0,"",MIN(Q158:Q160))</f>
        <v/>
      </c>
      <c r="R157" s="31" t="str">
        <f aca="false">IF(COUNTIFS(P158:P160,"Y")=COUNTIFS(P158:P160,"Y",R158:R160,"&gt;0"),MAX(R158:R160),"")</f>
        <v/>
      </c>
      <c r="S157" s="32" t="n">
        <f aca="false">IFERROR(SUMPRODUCT((P158:P160="Y")*L158:L160*S158:S160)/SUMIFS(L158:L160,P158:P160,"Y"),0)</f>
        <v>0</v>
      </c>
      <c r="T157" s="27" t="str">
        <f aca="false">IF(ISNUMBER(R157),"Completed",IF(ISNUMBER(Q157),"In Progress","Not Started"))</f>
        <v>Not Started</v>
      </c>
      <c r="U157" s="29"/>
    </row>
    <row r="158" customFormat="false" ht="15" hidden="false" customHeight="false" outlineLevel="2" collapsed="false">
      <c r="A158" s="33" t="s">
        <v>624</v>
      </c>
      <c r="B158" s="33" t="s">
        <v>625</v>
      </c>
      <c r="C158" s="34" t="s">
        <v>111</v>
      </c>
      <c r="D158" s="33" t="s">
        <v>573</v>
      </c>
      <c r="E158" s="33" t="s">
        <v>621</v>
      </c>
      <c r="F158" s="33" t="s">
        <v>626</v>
      </c>
      <c r="G158" s="33" t="s">
        <v>113</v>
      </c>
      <c r="H158" s="34" t="s">
        <v>575</v>
      </c>
      <c r="I158" s="33" t="s">
        <v>576</v>
      </c>
      <c r="J158" s="35" t="n">
        <v>4</v>
      </c>
      <c r="K158" s="33" t="s">
        <v>151</v>
      </c>
      <c r="L158" s="36" t="n">
        <v>10</v>
      </c>
      <c r="M158" s="37" t="s">
        <v>627</v>
      </c>
      <c r="N158" s="38" t="n">
        <f aca="false">MAX(IF($L158=0,O9,WORKDAY.INTL(O9,1,11)),IF($L158=0,O89,WORKDAY.INTL(O89,1,11)))</f>
        <v>46840</v>
      </c>
      <c r="O158" s="38" t="n">
        <f aca="false">IF(L158=0,N158,WORKDAY.INTL(N158,L158-1,11))</f>
        <v>46850</v>
      </c>
      <c r="P158" s="34" t="s">
        <v>116</v>
      </c>
      <c r="Q158" s="39"/>
      <c r="R158" s="39"/>
      <c r="S158" s="40"/>
      <c r="T158" s="33" t="str">
        <f aca="false">IF(ISNUMBER(R158),"Completed",IF(ISNUMBER(Q158),"In Progress","Not Started"))</f>
        <v>Not Started</v>
      </c>
      <c r="U158" s="41"/>
    </row>
    <row r="159" customFormat="false" ht="15" hidden="false" customHeight="false" outlineLevel="2" collapsed="false">
      <c r="A159" s="33" t="s">
        <v>628</v>
      </c>
      <c r="B159" s="33" t="s">
        <v>629</v>
      </c>
      <c r="C159" s="34" t="s">
        <v>111</v>
      </c>
      <c r="D159" s="33" t="s">
        <v>573</v>
      </c>
      <c r="E159" s="33" t="s">
        <v>621</v>
      </c>
      <c r="F159" s="33" t="s">
        <v>630</v>
      </c>
      <c r="G159" s="33" t="s">
        <v>113</v>
      </c>
      <c r="H159" s="34" t="s">
        <v>575</v>
      </c>
      <c r="I159" s="33" t="s">
        <v>576</v>
      </c>
      <c r="J159" s="35" t="n">
        <v>1</v>
      </c>
      <c r="K159" s="33" t="s">
        <v>151</v>
      </c>
      <c r="L159" s="36" t="n">
        <v>5</v>
      </c>
      <c r="M159" s="37" t="s">
        <v>631</v>
      </c>
      <c r="N159" s="38" t="n">
        <f aca="false">MAX(IF($L159=0,O9,WORKDAY.INTL(O9,1,11)),IF($L159=0,O91,WORKDAY.INTL(O91,1,11)))</f>
        <v>46840</v>
      </c>
      <c r="O159" s="38" t="n">
        <f aca="false">IF(L159=0,N159,WORKDAY.INTL(N159,L159-1,11))</f>
        <v>46844</v>
      </c>
      <c r="P159" s="34" t="s">
        <v>116</v>
      </c>
      <c r="Q159" s="39"/>
      <c r="R159" s="39"/>
      <c r="S159" s="40"/>
      <c r="T159" s="33" t="str">
        <f aca="false">IF(ISNUMBER(R159),"Completed",IF(ISNUMBER(Q159),"In Progress","Not Started"))</f>
        <v>Not Started</v>
      </c>
      <c r="U159" s="41"/>
    </row>
    <row r="160" customFormat="false" ht="15" hidden="false" customHeight="false" outlineLevel="2" collapsed="false">
      <c r="A160" s="33" t="s">
        <v>632</v>
      </c>
      <c r="B160" s="33" t="s">
        <v>633</v>
      </c>
      <c r="C160" s="34" t="s">
        <v>111</v>
      </c>
      <c r="D160" s="33" t="s">
        <v>573</v>
      </c>
      <c r="E160" s="33" t="s">
        <v>621</v>
      </c>
      <c r="F160" s="33" t="s">
        <v>634</v>
      </c>
      <c r="G160" s="33" t="s">
        <v>113</v>
      </c>
      <c r="H160" s="34" t="s">
        <v>575</v>
      </c>
      <c r="I160" s="33" t="s">
        <v>576</v>
      </c>
      <c r="J160" s="35" t="n">
        <v>1</v>
      </c>
      <c r="K160" s="33" t="s">
        <v>151</v>
      </c>
      <c r="L160" s="36" t="n">
        <v>8</v>
      </c>
      <c r="M160" s="37" t="s">
        <v>631</v>
      </c>
      <c r="N160" s="38" t="n">
        <f aca="false">MAX(IF($L160=0,O9,WORKDAY.INTL(O9,1,11)),IF($L160=0,O91,WORKDAY.INTL(O91,1,11)))</f>
        <v>46840</v>
      </c>
      <c r="O160" s="38" t="n">
        <f aca="false">IF(L160=0,N160,WORKDAY.INTL(N160,L160-1,11))</f>
        <v>46848</v>
      </c>
      <c r="P160" s="34" t="s">
        <v>116</v>
      </c>
      <c r="Q160" s="39"/>
      <c r="R160" s="39"/>
      <c r="S160" s="40"/>
      <c r="T160" s="33" t="str">
        <f aca="false">IF(ISNUMBER(R160),"Completed",IF(ISNUMBER(Q160),"In Progress","Not Started"))</f>
        <v>Not Started</v>
      </c>
      <c r="U160" s="41"/>
    </row>
    <row r="161" customFormat="false" ht="15" hidden="false" customHeight="false" outlineLevel="1" collapsed="false">
      <c r="A161" s="27" t="s">
        <v>635</v>
      </c>
      <c r="B161" s="27" t="s">
        <v>636</v>
      </c>
      <c r="C161" s="28" t="s">
        <v>107</v>
      </c>
      <c r="D161" s="27" t="s">
        <v>573</v>
      </c>
      <c r="E161" s="27" t="s">
        <v>618</v>
      </c>
      <c r="F161" s="27" t="s">
        <v>637</v>
      </c>
      <c r="G161" s="27" t="s">
        <v>102</v>
      </c>
      <c r="H161" s="28" t="s">
        <v>575</v>
      </c>
      <c r="I161" s="27" t="s">
        <v>576</v>
      </c>
      <c r="J161" s="29"/>
      <c r="K161" s="29"/>
      <c r="L161" s="30" t="n">
        <f aca="false">NETWORKDAYS.INTL(N161,O161,11)</f>
        <v>17</v>
      </c>
      <c r="M161" s="29"/>
      <c r="N161" s="31" t="n">
        <f aca="false">MIN(N162:N165)</f>
        <v>46834</v>
      </c>
      <c r="O161" s="31" t="n">
        <f aca="false">MAX(O162:O165)</f>
        <v>46853</v>
      </c>
      <c r="P161" s="28" t="s">
        <v>96</v>
      </c>
      <c r="Q161" s="31" t="str">
        <f aca="false">IF(COUNT(Q162:Q165)=0,"",MIN(Q162:Q165))</f>
        <v/>
      </c>
      <c r="R161" s="31" t="str">
        <f aca="false">IF(COUNTIFS(P162:P165,"Y")=COUNTIFS(P162:P165,"Y",R162:R165,"&gt;0"),MAX(R162:R165),"")</f>
        <v/>
      </c>
      <c r="S161" s="32" t="n">
        <f aca="false">IFERROR(SUMPRODUCT((P162:P165="Y")*L162:L165*S162:S165)/SUMIFS(L162:L165,P162:P165,"Y"),0)</f>
        <v>0</v>
      </c>
      <c r="T161" s="27" t="str">
        <f aca="false">IF(ISNUMBER(R161),"Completed",IF(ISNUMBER(Q161),"In Progress","Not Started"))</f>
        <v>Not Started</v>
      </c>
      <c r="U161" s="29"/>
    </row>
    <row r="162" customFormat="false" ht="15" hidden="false" customHeight="false" outlineLevel="2" collapsed="false">
      <c r="A162" s="33" t="s">
        <v>638</v>
      </c>
      <c r="B162" s="33" t="s">
        <v>639</v>
      </c>
      <c r="C162" s="34" t="s">
        <v>111</v>
      </c>
      <c r="D162" s="33" t="s">
        <v>573</v>
      </c>
      <c r="E162" s="33" t="s">
        <v>635</v>
      </c>
      <c r="F162" s="33" t="s">
        <v>640</v>
      </c>
      <c r="G162" s="33" t="s">
        <v>113</v>
      </c>
      <c r="H162" s="34" t="s">
        <v>575</v>
      </c>
      <c r="I162" s="33" t="s">
        <v>576</v>
      </c>
      <c r="J162" s="35" t="n">
        <v>1</v>
      </c>
      <c r="K162" s="33" t="s">
        <v>151</v>
      </c>
      <c r="L162" s="36" t="n">
        <v>8</v>
      </c>
      <c r="M162" s="37" t="s">
        <v>641</v>
      </c>
      <c r="N162" s="38" t="n">
        <f aca="false">MAX(IF($L162=0,O119,WORKDAY.INTL(O119,1,11)),IF($L162=0,O7,WORKDAY.INTL(O7,1,11)))</f>
        <v>46834</v>
      </c>
      <c r="O162" s="38" t="n">
        <f aca="false">IF(L162=0,N162,WORKDAY.INTL(N162,L162-1,11))</f>
        <v>46842</v>
      </c>
      <c r="P162" s="34" t="s">
        <v>116</v>
      </c>
      <c r="Q162" s="39"/>
      <c r="R162" s="39"/>
      <c r="S162" s="40"/>
      <c r="T162" s="33" t="str">
        <f aca="false">IF(ISNUMBER(R162),"Completed",IF(ISNUMBER(Q162),"In Progress","Not Started"))</f>
        <v>Not Started</v>
      </c>
      <c r="U162" s="41"/>
    </row>
    <row r="163" customFormat="false" ht="15" hidden="false" customHeight="false" outlineLevel="2" collapsed="false">
      <c r="A163" s="33" t="s">
        <v>642</v>
      </c>
      <c r="B163" s="33" t="s">
        <v>643</v>
      </c>
      <c r="C163" s="34" t="s">
        <v>111</v>
      </c>
      <c r="D163" s="33" t="s">
        <v>573</v>
      </c>
      <c r="E163" s="33" t="s">
        <v>635</v>
      </c>
      <c r="F163" s="33" t="s">
        <v>644</v>
      </c>
      <c r="G163" s="33" t="s">
        <v>113</v>
      </c>
      <c r="H163" s="34" t="s">
        <v>575</v>
      </c>
      <c r="I163" s="33" t="s">
        <v>576</v>
      </c>
      <c r="J163" s="35" t="n">
        <v>1</v>
      </c>
      <c r="K163" s="33" t="s">
        <v>151</v>
      </c>
      <c r="L163" s="36" t="n">
        <v>8</v>
      </c>
      <c r="M163" s="37" t="s">
        <v>645</v>
      </c>
      <c r="N163" s="38" t="n">
        <f aca="false">MAX(IF($L163=0,O7,WORKDAY.INTL(O7,1,11)),IF($L163=0,O65,WORKDAY.INTL(O65,1,11)))</f>
        <v>46834</v>
      </c>
      <c r="O163" s="38" t="n">
        <f aca="false">IF(L163=0,N163,WORKDAY.INTL(N163,L163-1,11))</f>
        <v>46842</v>
      </c>
      <c r="P163" s="34" t="s">
        <v>116</v>
      </c>
      <c r="Q163" s="39"/>
      <c r="R163" s="39"/>
      <c r="S163" s="40"/>
      <c r="T163" s="33" t="str">
        <f aca="false">IF(ISNUMBER(R163),"Completed",IF(ISNUMBER(Q163),"In Progress","Not Started"))</f>
        <v>Not Started</v>
      </c>
      <c r="U163" s="41"/>
    </row>
    <row r="164" customFormat="false" ht="15" hidden="false" customHeight="false" outlineLevel="2" collapsed="false">
      <c r="A164" s="33" t="s">
        <v>646</v>
      </c>
      <c r="B164" s="33" t="s">
        <v>647</v>
      </c>
      <c r="C164" s="34" t="s">
        <v>111</v>
      </c>
      <c r="D164" s="33" t="s">
        <v>573</v>
      </c>
      <c r="E164" s="33" t="s">
        <v>635</v>
      </c>
      <c r="F164" s="33" t="s">
        <v>648</v>
      </c>
      <c r="G164" s="33" t="s">
        <v>113</v>
      </c>
      <c r="H164" s="34" t="s">
        <v>575</v>
      </c>
      <c r="I164" s="33" t="s">
        <v>576</v>
      </c>
      <c r="J164" s="35" t="n">
        <v>1</v>
      </c>
      <c r="K164" s="33" t="s">
        <v>151</v>
      </c>
      <c r="L164" s="36" t="n">
        <v>12</v>
      </c>
      <c r="M164" s="37" t="s">
        <v>649</v>
      </c>
      <c r="N164" s="38" t="n">
        <f aca="false">MAX(IF($L164=0,O129,WORKDAY.INTL(O129,1,11)),IF($L164=0,O7,WORKDAY.INTL(O7,1,11)))</f>
        <v>46834</v>
      </c>
      <c r="O164" s="38" t="n">
        <f aca="false">IF(L164=0,N164,WORKDAY.INTL(N164,L164-1,11))</f>
        <v>46847</v>
      </c>
      <c r="P164" s="34" t="s">
        <v>116</v>
      </c>
      <c r="Q164" s="39"/>
      <c r="R164" s="39"/>
      <c r="S164" s="40"/>
      <c r="T164" s="33" t="str">
        <f aca="false">IF(ISNUMBER(R164),"Completed",IF(ISNUMBER(Q164),"In Progress","Not Started"))</f>
        <v>Not Started</v>
      </c>
      <c r="U164" s="41"/>
    </row>
    <row r="165" customFormat="false" ht="23.85" hidden="false" customHeight="false" outlineLevel="2" collapsed="false">
      <c r="A165" s="33" t="s">
        <v>650</v>
      </c>
      <c r="B165" s="33" t="s">
        <v>651</v>
      </c>
      <c r="C165" s="34" t="s">
        <v>111</v>
      </c>
      <c r="D165" s="33" t="s">
        <v>573</v>
      </c>
      <c r="E165" s="33" t="s">
        <v>635</v>
      </c>
      <c r="F165" s="42" t="s">
        <v>652</v>
      </c>
      <c r="G165" s="33" t="s">
        <v>653</v>
      </c>
      <c r="H165" s="34" t="s">
        <v>575</v>
      </c>
      <c r="I165" s="33" t="s">
        <v>576</v>
      </c>
      <c r="J165" s="35"/>
      <c r="K165" s="33"/>
      <c r="L165" s="36" t="n">
        <v>0</v>
      </c>
      <c r="M165" s="37" t="s">
        <v>654</v>
      </c>
      <c r="N165" s="38" t="n">
        <f aca="false">MAX(IF($L165=0,O146,WORKDAY.INTL(O146,1,11)),IF($L165=0,O152,WORKDAY.INTL(O152,1,11)),IF($L165=0,O154,WORKDAY.INTL(O154,1,11)),IF($L165=0,O164,WORKDAY.INTL(O164,1,11)))</f>
        <v>46853</v>
      </c>
      <c r="O165" s="38" t="n">
        <f aca="false">IF(L165=0,N165,WORKDAY.INTL(N165,L165-1,11))</f>
        <v>46853</v>
      </c>
      <c r="P165" s="34" t="s">
        <v>116</v>
      </c>
      <c r="Q165" s="39"/>
      <c r="R165" s="39"/>
      <c r="S165" s="40"/>
      <c r="T165" s="33" t="str">
        <f aca="false">IF(ISNUMBER(R165),"Completed",IF(ISNUMBER(Q165),"In Progress","Not Started"))</f>
        <v>Not Started</v>
      </c>
      <c r="U165" s="41"/>
    </row>
    <row r="166" customFormat="false" ht="15" hidden="false" customHeight="false" outlineLevel="0" collapsed="false">
      <c r="A166" s="21" t="s">
        <v>655</v>
      </c>
      <c r="B166" s="21" t="s">
        <v>656</v>
      </c>
      <c r="C166" s="22" t="s">
        <v>99</v>
      </c>
      <c r="D166" s="21" t="s">
        <v>657</v>
      </c>
      <c r="E166" s="21" t="s">
        <v>657</v>
      </c>
      <c r="F166" s="21" t="s">
        <v>658</v>
      </c>
      <c r="G166" s="21" t="s">
        <v>102</v>
      </c>
      <c r="H166" s="22" t="s">
        <v>659</v>
      </c>
      <c r="I166" s="21" t="s">
        <v>660</v>
      </c>
      <c r="J166" s="23"/>
      <c r="K166" s="23"/>
      <c r="L166" s="24" t="n">
        <f aca="false">NETWORKDAYS.INTL(N166,O166,11)</f>
        <v>163</v>
      </c>
      <c r="M166" s="23"/>
      <c r="N166" s="25" t="n">
        <f aca="false">MIN(N167:N173)</f>
        <v>46688</v>
      </c>
      <c r="O166" s="25" t="n">
        <f aca="false">MAX(O167:O173)</f>
        <v>46877</v>
      </c>
      <c r="P166" s="22" t="s">
        <v>96</v>
      </c>
      <c r="Q166" s="25" t="str">
        <f aca="false">IF(COUNT(Q167:Q173)=0,"",MIN(Q167:Q173))</f>
        <v/>
      </c>
      <c r="R166" s="25" t="str">
        <f aca="false">IF(COUNTIFS(P167:P173,"Y")=COUNTIFS(P167:P173,"Y",R167:R173,"&gt;0"),MAX(R167:R173),"")</f>
        <v/>
      </c>
      <c r="S166" s="26" t="n">
        <f aca="false">IFERROR(SUMPRODUCT((P167:P173="Y")*L167:L173*S167:S173)/SUMIFS(L167:L173,P167:P173,"Y"),0)</f>
        <v>0</v>
      </c>
      <c r="T166" s="21" t="str">
        <f aca="false">IF(ISNUMBER(R166),"Completed",IF(ISNUMBER(Q166),"In Progress","Not Started"))</f>
        <v>Not Started</v>
      </c>
      <c r="U166" s="23"/>
    </row>
    <row r="167" customFormat="false" ht="15" hidden="false" customHeight="false" outlineLevel="1" collapsed="false">
      <c r="A167" s="27" t="s">
        <v>661</v>
      </c>
      <c r="B167" s="27" t="s">
        <v>662</v>
      </c>
      <c r="C167" s="28" t="s">
        <v>107</v>
      </c>
      <c r="D167" s="27" t="s">
        <v>657</v>
      </c>
      <c r="E167" s="27" t="s">
        <v>655</v>
      </c>
      <c r="F167" s="27" t="s">
        <v>663</v>
      </c>
      <c r="G167" s="27" t="s">
        <v>102</v>
      </c>
      <c r="H167" s="28" t="s">
        <v>659</v>
      </c>
      <c r="I167" s="27" t="s">
        <v>660</v>
      </c>
      <c r="J167" s="29"/>
      <c r="K167" s="29"/>
      <c r="L167" s="30" t="n">
        <f aca="false">NETWORKDAYS.INTL(N167,O167,11)</f>
        <v>6</v>
      </c>
      <c r="M167" s="29"/>
      <c r="N167" s="31" t="n">
        <f aca="false">MIN(N168:N169)</f>
        <v>46846</v>
      </c>
      <c r="O167" s="31" t="n">
        <f aca="false">MAX(O168:O169)</f>
        <v>46851</v>
      </c>
      <c r="P167" s="28" t="s">
        <v>96</v>
      </c>
      <c r="Q167" s="31" t="str">
        <f aca="false">IF(COUNT(Q168:Q169)=0,"",MIN(Q168:Q169))</f>
        <v/>
      </c>
      <c r="R167" s="31" t="str">
        <f aca="false">IF(COUNTIFS(P168:P169,"Y")=COUNTIFS(P168:P169,"Y",R168:R169,"&gt;0"),MAX(R168:R169),"")</f>
        <v/>
      </c>
      <c r="S167" s="32" t="n">
        <f aca="false">IFERROR(SUMPRODUCT((P168:P169="Y")*L168:L169*S168:S169)/SUMIFS(L168:L169,P168:P169,"Y"),0)</f>
        <v>0</v>
      </c>
      <c r="T167" s="27" t="str">
        <f aca="false">IF(ISNUMBER(R167),"Completed",IF(ISNUMBER(Q167),"In Progress","Not Started"))</f>
        <v>Not Started</v>
      </c>
      <c r="U167" s="29"/>
    </row>
    <row r="168" customFormat="false" ht="15" hidden="false" customHeight="false" outlineLevel="2" collapsed="false">
      <c r="A168" s="33" t="s">
        <v>664</v>
      </c>
      <c r="B168" s="33" t="s">
        <v>665</v>
      </c>
      <c r="C168" s="34" t="s">
        <v>111</v>
      </c>
      <c r="D168" s="33" t="s">
        <v>657</v>
      </c>
      <c r="E168" s="33" t="s">
        <v>661</v>
      </c>
      <c r="F168" s="33" t="s">
        <v>666</v>
      </c>
      <c r="G168" s="33" t="s">
        <v>113</v>
      </c>
      <c r="H168" s="34" t="s">
        <v>659</v>
      </c>
      <c r="I168" s="33" t="s">
        <v>660</v>
      </c>
      <c r="J168" s="35" t="n">
        <v>1</v>
      </c>
      <c r="K168" s="33" t="s">
        <v>151</v>
      </c>
      <c r="L168" s="36" t="n">
        <v>5</v>
      </c>
      <c r="M168" s="37" t="s">
        <v>667</v>
      </c>
      <c r="N168" s="38" t="n">
        <f aca="false">MAX(IF($L168=0,O10,WORKDAY.INTL(O10,1,11)),IF($L168=0,O103,WORKDAY.INTL(O103,1,11)))</f>
        <v>46846</v>
      </c>
      <c r="O168" s="38" t="n">
        <f aca="false">IF(L168=0,N168,WORKDAY.INTL(N168,L168-1,11))</f>
        <v>46850</v>
      </c>
      <c r="P168" s="34" t="s">
        <v>116</v>
      </c>
      <c r="Q168" s="39"/>
      <c r="R168" s="39"/>
      <c r="S168" s="40"/>
      <c r="T168" s="33" t="str">
        <f aca="false">IF(ISNUMBER(R168),"Completed",IF(ISNUMBER(Q168),"In Progress","Not Started"))</f>
        <v>Not Started</v>
      </c>
      <c r="U168" s="41"/>
    </row>
    <row r="169" customFormat="false" ht="15" hidden="false" customHeight="false" outlineLevel="2" collapsed="false">
      <c r="A169" s="33" t="s">
        <v>668</v>
      </c>
      <c r="B169" s="33" t="s">
        <v>669</v>
      </c>
      <c r="C169" s="34" t="s">
        <v>111</v>
      </c>
      <c r="D169" s="33" t="s">
        <v>657</v>
      </c>
      <c r="E169" s="33" t="s">
        <v>661</v>
      </c>
      <c r="F169" s="33" t="s">
        <v>670</v>
      </c>
      <c r="G169" s="33" t="s">
        <v>113</v>
      </c>
      <c r="H169" s="34" t="s">
        <v>659</v>
      </c>
      <c r="I169" s="33" t="s">
        <v>660</v>
      </c>
      <c r="J169" s="35" t="n">
        <v>4</v>
      </c>
      <c r="K169" s="33" t="s">
        <v>151</v>
      </c>
      <c r="L169" s="36" t="n">
        <v>6</v>
      </c>
      <c r="M169" s="37" t="s">
        <v>667</v>
      </c>
      <c r="N169" s="38" t="n">
        <f aca="false">MAX(IF($L169=0,O10,WORKDAY.INTL(O10,1,11)),IF($L169=0,O103,WORKDAY.INTL(O103,1,11)))</f>
        <v>46846</v>
      </c>
      <c r="O169" s="38" t="n">
        <f aca="false">IF(L169=0,N169,WORKDAY.INTL(N169,L169-1,11))</f>
        <v>46851</v>
      </c>
      <c r="P169" s="34" t="s">
        <v>116</v>
      </c>
      <c r="Q169" s="39"/>
      <c r="R169" s="39"/>
      <c r="S169" s="40"/>
      <c r="T169" s="33" t="str">
        <f aca="false">IF(ISNUMBER(R169),"Completed",IF(ISNUMBER(Q169),"In Progress","Not Started"))</f>
        <v>Not Started</v>
      </c>
      <c r="U169" s="41"/>
    </row>
    <row r="170" customFormat="false" ht="15" hidden="false" customHeight="false" outlineLevel="1" collapsed="false">
      <c r="A170" s="27" t="s">
        <v>671</v>
      </c>
      <c r="B170" s="27" t="s">
        <v>672</v>
      </c>
      <c r="C170" s="28" t="s">
        <v>107</v>
      </c>
      <c r="D170" s="27" t="s">
        <v>657</v>
      </c>
      <c r="E170" s="27" t="s">
        <v>655</v>
      </c>
      <c r="F170" s="27" t="s">
        <v>673</v>
      </c>
      <c r="G170" s="27" t="s">
        <v>102</v>
      </c>
      <c r="H170" s="28" t="s">
        <v>659</v>
      </c>
      <c r="I170" s="27" t="s">
        <v>660</v>
      </c>
      <c r="J170" s="29"/>
      <c r="K170" s="29"/>
      <c r="L170" s="30" t="n">
        <f aca="false">NETWORKDAYS.INTL(N170,O170,11)</f>
        <v>163</v>
      </c>
      <c r="M170" s="29"/>
      <c r="N170" s="31" t="n">
        <f aca="false">MIN(N171:N173)</f>
        <v>46688</v>
      </c>
      <c r="O170" s="31" t="n">
        <f aca="false">MAX(O171:O173)</f>
        <v>46877</v>
      </c>
      <c r="P170" s="28" t="s">
        <v>96</v>
      </c>
      <c r="Q170" s="31" t="str">
        <f aca="false">IF(COUNT(Q171:Q173)=0,"",MIN(Q171:Q173))</f>
        <v/>
      </c>
      <c r="R170" s="31" t="str">
        <f aca="false">IF(COUNTIFS(P171:P173,"Y")=COUNTIFS(P171:P173,"Y",R171:R173,"&gt;0"),MAX(R171:R173),"")</f>
        <v/>
      </c>
      <c r="S170" s="32" t="n">
        <f aca="false">IFERROR(SUMPRODUCT((P171:P173="Y")*L171:L173*S171:S173)/SUMIFS(L171:L173,P171:P173,"Y"),0)</f>
        <v>0</v>
      </c>
      <c r="T170" s="27" t="str">
        <f aca="false">IF(ISNUMBER(R170),"Completed",IF(ISNUMBER(Q170),"In Progress","Not Started"))</f>
        <v>Not Started</v>
      </c>
      <c r="U170" s="29"/>
    </row>
    <row r="171" customFormat="false" ht="15" hidden="false" customHeight="false" outlineLevel="2" collapsed="false">
      <c r="A171" s="33" t="s">
        <v>674</v>
      </c>
      <c r="B171" s="33" t="s">
        <v>675</v>
      </c>
      <c r="C171" s="34" t="s">
        <v>111</v>
      </c>
      <c r="D171" s="33" t="s">
        <v>657</v>
      </c>
      <c r="E171" s="33" t="s">
        <v>671</v>
      </c>
      <c r="F171" s="33" t="s">
        <v>676</v>
      </c>
      <c r="G171" s="33" t="s">
        <v>113</v>
      </c>
      <c r="H171" s="34" t="s">
        <v>659</v>
      </c>
      <c r="I171" s="33" t="s">
        <v>660</v>
      </c>
      <c r="J171" s="35" t="n">
        <v>180</v>
      </c>
      <c r="K171" s="33" t="s">
        <v>677</v>
      </c>
      <c r="L171" s="36" t="n">
        <v>12</v>
      </c>
      <c r="M171" s="37" t="s">
        <v>502</v>
      </c>
      <c r="N171" s="38" t="n">
        <f aca="false">IF($L171=0,O6,WORKDAY.INTL(O6,1,11))</f>
        <v>46688</v>
      </c>
      <c r="O171" s="38" t="n">
        <f aca="false">IF(L171=0,N171,WORKDAY.INTL(N171,L171-1,11))</f>
        <v>46701</v>
      </c>
      <c r="P171" s="34" t="s">
        <v>116</v>
      </c>
      <c r="Q171" s="39"/>
      <c r="R171" s="39"/>
      <c r="S171" s="40"/>
      <c r="T171" s="33" t="str">
        <f aca="false">IF(ISNUMBER(R171),"Completed",IF(ISNUMBER(Q171),"In Progress","Not Started"))</f>
        <v>Not Started</v>
      </c>
      <c r="U171" s="41"/>
    </row>
    <row r="172" customFormat="false" ht="23.85" hidden="false" customHeight="false" outlineLevel="2" collapsed="false">
      <c r="A172" s="33" t="s">
        <v>678</v>
      </c>
      <c r="B172" s="33" t="s">
        <v>679</v>
      </c>
      <c r="C172" s="34" t="s">
        <v>111</v>
      </c>
      <c r="D172" s="33" t="s">
        <v>657</v>
      </c>
      <c r="E172" s="33" t="s">
        <v>671</v>
      </c>
      <c r="F172" s="33" t="s">
        <v>680</v>
      </c>
      <c r="G172" s="33" t="s">
        <v>113</v>
      </c>
      <c r="H172" s="34" t="s">
        <v>659</v>
      </c>
      <c r="I172" s="33" t="s">
        <v>660</v>
      </c>
      <c r="J172" s="35" t="n">
        <v>180</v>
      </c>
      <c r="K172" s="33" t="s">
        <v>677</v>
      </c>
      <c r="L172" s="36" t="n">
        <v>14</v>
      </c>
      <c r="M172" s="37" t="s">
        <v>681</v>
      </c>
      <c r="N172" s="38" t="n">
        <f aca="false">MAX(IF($L172=0,O171,WORKDAY.INTL(O171,1,11)),IF($L172=0,O169,WORKDAY.INTL(O169,1,11)),IF($L172=0,O168,WORKDAY.INTL(O168,1,11)))</f>
        <v>46853</v>
      </c>
      <c r="O172" s="38" t="n">
        <f aca="false">IF(L172=0,N172,WORKDAY.INTL(N172,L172-1,11))</f>
        <v>46868</v>
      </c>
      <c r="P172" s="34" t="s">
        <v>116</v>
      </c>
      <c r="Q172" s="39"/>
      <c r="R172" s="39"/>
      <c r="S172" s="40"/>
      <c r="T172" s="33" t="str">
        <f aca="false">IF(ISNUMBER(R172),"Completed",IF(ISNUMBER(Q172),"In Progress","Not Started"))</f>
        <v>Not Started</v>
      </c>
      <c r="U172" s="41"/>
    </row>
    <row r="173" customFormat="false" ht="15" hidden="false" customHeight="false" outlineLevel="2" collapsed="false">
      <c r="A173" s="33" t="s">
        <v>682</v>
      </c>
      <c r="B173" s="33" t="s">
        <v>683</v>
      </c>
      <c r="C173" s="34" t="s">
        <v>111</v>
      </c>
      <c r="D173" s="33" t="s">
        <v>657</v>
      </c>
      <c r="E173" s="33" t="s">
        <v>671</v>
      </c>
      <c r="F173" s="33" t="s">
        <v>684</v>
      </c>
      <c r="G173" s="33" t="s">
        <v>113</v>
      </c>
      <c r="H173" s="34" t="s">
        <v>659</v>
      </c>
      <c r="I173" s="33" t="s">
        <v>660</v>
      </c>
      <c r="J173" s="35" t="n">
        <v>220</v>
      </c>
      <c r="K173" s="33" t="s">
        <v>685</v>
      </c>
      <c r="L173" s="36" t="n">
        <v>8</v>
      </c>
      <c r="M173" s="37" t="s">
        <v>686</v>
      </c>
      <c r="N173" s="38" t="n">
        <f aca="false">IF($L173=0,O172,WORKDAY.INTL(O172,1,11))</f>
        <v>46869</v>
      </c>
      <c r="O173" s="38" t="n">
        <f aca="false">IF(L173=0,N173,WORKDAY.INTL(N173,L173-1,11))</f>
        <v>46877</v>
      </c>
      <c r="P173" s="34" t="s">
        <v>116</v>
      </c>
      <c r="Q173" s="39"/>
      <c r="R173" s="39"/>
      <c r="S173" s="40"/>
      <c r="T173" s="33" t="str">
        <f aca="false">IF(ISNUMBER(R173),"Completed",IF(ISNUMBER(Q173),"In Progress","Not Started"))</f>
        <v>Not Started</v>
      </c>
      <c r="U173" s="41"/>
    </row>
    <row r="174" customFormat="false" ht="15" hidden="false" customHeight="false" outlineLevel="0" collapsed="false">
      <c r="A174" s="21" t="s">
        <v>687</v>
      </c>
      <c r="B174" s="21" t="s">
        <v>688</v>
      </c>
      <c r="C174" s="22" t="s">
        <v>99</v>
      </c>
      <c r="D174" s="21" t="s">
        <v>657</v>
      </c>
      <c r="E174" s="21" t="s">
        <v>657</v>
      </c>
      <c r="F174" s="21" t="s">
        <v>689</v>
      </c>
      <c r="G174" s="21" t="s">
        <v>102</v>
      </c>
      <c r="H174" s="22" t="s">
        <v>659</v>
      </c>
      <c r="I174" s="21" t="s">
        <v>660</v>
      </c>
      <c r="J174" s="23"/>
      <c r="K174" s="23"/>
      <c r="L174" s="24" t="n">
        <f aca="false">NETWORKDAYS.INTL(N174,O174,11)</f>
        <v>117</v>
      </c>
      <c r="M174" s="23"/>
      <c r="N174" s="25" t="n">
        <f aca="false">MIN(N175:N181)</f>
        <v>46718</v>
      </c>
      <c r="O174" s="25" t="n">
        <f aca="false">MAX(O175:O181)</f>
        <v>46854</v>
      </c>
      <c r="P174" s="22" t="s">
        <v>96</v>
      </c>
      <c r="Q174" s="25" t="str">
        <f aca="false">IF(COUNT(Q175:Q181)=0,"",MIN(Q175:Q181))</f>
        <v/>
      </c>
      <c r="R174" s="25" t="str">
        <f aca="false">IF(COUNTIFS(P175:P181,"Y")=COUNTIFS(P175:P181,"Y",R175:R181,"&gt;0"),MAX(R175:R181),"")</f>
        <v/>
      </c>
      <c r="S174" s="26" t="n">
        <f aca="false">IFERROR(SUMPRODUCT((P175:P181="Y")*L175:L181*S175:S181)/SUMIFS(L175:L181,P175:P181,"Y"),0)</f>
        <v>0</v>
      </c>
      <c r="T174" s="21" t="str">
        <f aca="false">IF(ISNUMBER(R174),"Completed",IF(ISNUMBER(Q174),"In Progress","Not Started"))</f>
        <v>Not Started</v>
      </c>
      <c r="U174" s="23"/>
    </row>
    <row r="175" customFormat="false" ht="15" hidden="false" customHeight="false" outlineLevel="1" collapsed="false">
      <c r="A175" s="27" t="s">
        <v>690</v>
      </c>
      <c r="B175" s="27" t="s">
        <v>691</v>
      </c>
      <c r="C175" s="28" t="s">
        <v>107</v>
      </c>
      <c r="D175" s="27" t="s">
        <v>657</v>
      </c>
      <c r="E175" s="27" t="s">
        <v>687</v>
      </c>
      <c r="F175" s="27" t="s">
        <v>692</v>
      </c>
      <c r="G175" s="27" t="s">
        <v>102</v>
      </c>
      <c r="H175" s="28" t="s">
        <v>659</v>
      </c>
      <c r="I175" s="27" t="s">
        <v>660</v>
      </c>
      <c r="J175" s="29"/>
      <c r="K175" s="29"/>
      <c r="L175" s="30" t="n">
        <f aca="false">NETWORKDAYS.INTL(N175,O175,11)</f>
        <v>117</v>
      </c>
      <c r="M175" s="29"/>
      <c r="N175" s="31" t="n">
        <f aca="false">MIN(N176:N178)</f>
        <v>46718</v>
      </c>
      <c r="O175" s="31" t="n">
        <f aca="false">MAX(O176:O178)</f>
        <v>46854</v>
      </c>
      <c r="P175" s="28" t="s">
        <v>96</v>
      </c>
      <c r="Q175" s="31" t="str">
        <f aca="false">IF(COUNT(Q176:Q178)=0,"",MIN(Q176:Q178))</f>
        <v/>
      </c>
      <c r="R175" s="31" t="str">
        <f aca="false">IF(COUNTIFS(P176:P178,"Y")=COUNTIFS(P176:P178,"Y",R176:R178,"&gt;0"),MAX(R176:R178),"")</f>
        <v/>
      </c>
      <c r="S175" s="32" t="n">
        <f aca="false">IFERROR(SUMPRODUCT((P176:P178="Y")*L176:L178*S176:S178)/SUMIFS(L176:L178,P176:P178,"Y"),0)</f>
        <v>0</v>
      </c>
      <c r="T175" s="27" t="str">
        <f aca="false">IF(ISNUMBER(R175),"Completed",IF(ISNUMBER(Q175),"In Progress","Not Started"))</f>
        <v>Not Started</v>
      </c>
      <c r="U175" s="29"/>
    </row>
    <row r="176" customFormat="false" ht="15" hidden="false" customHeight="false" outlineLevel="2" collapsed="false">
      <c r="A176" s="33" t="s">
        <v>693</v>
      </c>
      <c r="B176" s="33" t="s">
        <v>694</v>
      </c>
      <c r="C176" s="34" t="s">
        <v>111</v>
      </c>
      <c r="D176" s="33" t="s">
        <v>657</v>
      </c>
      <c r="E176" s="33" t="s">
        <v>690</v>
      </c>
      <c r="F176" s="33" t="s">
        <v>695</v>
      </c>
      <c r="G176" s="33" t="s">
        <v>113</v>
      </c>
      <c r="H176" s="34" t="s">
        <v>659</v>
      </c>
      <c r="I176" s="33" t="s">
        <v>660</v>
      </c>
      <c r="J176" s="35" t="n">
        <v>900</v>
      </c>
      <c r="K176" s="33" t="s">
        <v>130</v>
      </c>
      <c r="L176" s="36" t="n">
        <v>16</v>
      </c>
      <c r="M176" s="37" t="s">
        <v>696</v>
      </c>
      <c r="N176" s="38" t="n">
        <f aca="false">IF($L176=0,O44,WORKDAY.INTL(O44,1,11))</f>
        <v>46718</v>
      </c>
      <c r="O176" s="38" t="n">
        <f aca="false">IF(L176=0,N176,WORKDAY.INTL(N176,L176-1,11))</f>
        <v>46736</v>
      </c>
      <c r="P176" s="34" t="s">
        <v>116</v>
      </c>
      <c r="Q176" s="39"/>
      <c r="R176" s="39"/>
      <c r="S176" s="40"/>
      <c r="T176" s="33" t="str">
        <f aca="false">IF(ISNUMBER(R176),"Completed",IF(ISNUMBER(Q176),"In Progress","Not Started"))</f>
        <v>Not Started</v>
      </c>
      <c r="U176" s="41"/>
    </row>
    <row r="177" customFormat="false" ht="15" hidden="false" customHeight="false" outlineLevel="2" collapsed="false">
      <c r="A177" s="33" t="s">
        <v>697</v>
      </c>
      <c r="B177" s="33" t="s">
        <v>698</v>
      </c>
      <c r="C177" s="34" t="s">
        <v>111</v>
      </c>
      <c r="D177" s="33" t="s">
        <v>657</v>
      </c>
      <c r="E177" s="33" t="s">
        <v>690</v>
      </c>
      <c r="F177" s="33" t="s">
        <v>699</v>
      </c>
      <c r="G177" s="33" t="s">
        <v>113</v>
      </c>
      <c r="H177" s="34" t="s">
        <v>659</v>
      </c>
      <c r="I177" s="33" t="s">
        <v>660</v>
      </c>
      <c r="J177" s="35" t="n">
        <v>24</v>
      </c>
      <c r="K177" s="33" t="s">
        <v>151</v>
      </c>
      <c r="L177" s="36" t="n">
        <v>12</v>
      </c>
      <c r="M177" s="37" t="s">
        <v>700</v>
      </c>
      <c r="N177" s="38" t="n">
        <f aca="false">MAX(IF($L177=0,O176,WORKDAY.INTL(O176,1,11)),IF($L177=0,O136,WORKDAY.INTL(O136,1,11)))</f>
        <v>46805</v>
      </c>
      <c r="O177" s="38" t="n">
        <f aca="false">IF(L177=0,N177,WORKDAY.INTL(N177,L177-1,11))</f>
        <v>46818</v>
      </c>
      <c r="P177" s="34" t="s">
        <v>116</v>
      </c>
      <c r="Q177" s="39"/>
      <c r="R177" s="39"/>
      <c r="S177" s="40"/>
      <c r="T177" s="33" t="str">
        <f aca="false">IF(ISNUMBER(R177),"Completed",IF(ISNUMBER(Q177),"In Progress","Not Started"))</f>
        <v>Not Started</v>
      </c>
      <c r="U177" s="41"/>
    </row>
    <row r="178" customFormat="false" ht="15" hidden="false" customHeight="false" outlineLevel="2" collapsed="false">
      <c r="A178" s="33" t="s">
        <v>701</v>
      </c>
      <c r="B178" s="33" t="s">
        <v>702</v>
      </c>
      <c r="C178" s="34" t="s">
        <v>111</v>
      </c>
      <c r="D178" s="33" t="s">
        <v>657</v>
      </c>
      <c r="E178" s="33" t="s">
        <v>690</v>
      </c>
      <c r="F178" s="33" t="s">
        <v>703</v>
      </c>
      <c r="G178" s="33" t="s">
        <v>113</v>
      </c>
      <c r="H178" s="34" t="s">
        <v>659</v>
      </c>
      <c r="I178" s="33" t="s">
        <v>660</v>
      </c>
      <c r="J178" s="35" t="n">
        <v>3</v>
      </c>
      <c r="K178" s="33" t="s">
        <v>151</v>
      </c>
      <c r="L178" s="36" t="n">
        <v>8</v>
      </c>
      <c r="M178" s="37" t="s">
        <v>704</v>
      </c>
      <c r="N178" s="38" t="n">
        <f aca="false">MAX(IF($L178=0,O118,WORKDAY.INTL(O118,1,11)),IF($L178=0,O10,WORKDAY.INTL(O10,1,11)))</f>
        <v>46846</v>
      </c>
      <c r="O178" s="38" t="n">
        <f aca="false">IF(L178=0,N178,WORKDAY.INTL(N178,L178-1,11))</f>
        <v>46854</v>
      </c>
      <c r="P178" s="34" t="s">
        <v>116</v>
      </c>
      <c r="Q178" s="39"/>
      <c r="R178" s="39"/>
      <c r="S178" s="40"/>
      <c r="T178" s="33" t="str">
        <f aca="false">IF(ISNUMBER(R178),"Completed",IF(ISNUMBER(Q178),"In Progress","Not Started"))</f>
        <v>Not Started</v>
      </c>
      <c r="U178" s="41"/>
    </row>
    <row r="179" customFormat="false" ht="15" hidden="false" customHeight="false" outlineLevel="1" collapsed="false">
      <c r="A179" s="27" t="s">
        <v>705</v>
      </c>
      <c r="B179" s="27" t="s">
        <v>706</v>
      </c>
      <c r="C179" s="28" t="s">
        <v>107</v>
      </c>
      <c r="D179" s="27" t="s">
        <v>657</v>
      </c>
      <c r="E179" s="27" t="s">
        <v>687</v>
      </c>
      <c r="F179" s="27" t="s">
        <v>707</v>
      </c>
      <c r="G179" s="27" t="s">
        <v>102</v>
      </c>
      <c r="H179" s="28" t="s">
        <v>659</v>
      </c>
      <c r="I179" s="27" t="s">
        <v>660</v>
      </c>
      <c r="J179" s="29"/>
      <c r="K179" s="29"/>
      <c r="L179" s="30" t="n">
        <f aca="false">NETWORKDAYS.INTL(N179,O179,11)</f>
        <v>10</v>
      </c>
      <c r="M179" s="29"/>
      <c r="N179" s="31" t="n">
        <f aca="false">MIN(N180:N181)</f>
        <v>46760</v>
      </c>
      <c r="O179" s="31" t="n">
        <f aca="false">MAX(O180:O181)</f>
        <v>46771</v>
      </c>
      <c r="P179" s="28" t="s">
        <v>96</v>
      </c>
      <c r="Q179" s="31" t="str">
        <f aca="false">IF(COUNT(Q180:Q181)=0,"",MIN(Q180:Q181))</f>
        <v/>
      </c>
      <c r="R179" s="31" t="str">
        <f aca="false">IF(COUNTIFS(P180:P181,"Y")=COUNTIFS(P180:P181,"Y",R180:R181,"&gt;0"),MAX(R180:R181),"")</f>
        <v/>
      </c>
      <c r="S179" s="32" t="n">
        <f aca="false">IFERROR(SUMPRODUCT((P180:P181="Y")*L180:L181*S180:S181)/SUMIFS(L180:L181,P180:P181,"Y"),0)</f>
        <v>0</v>
      </c>
      <c r="T179" s="27" t="str">
        <f aca="false">IF(ISNUMBER(R179),"Completed",IF(ISNUMBER(Q179),"In Progress","Not Started"))</f>
        <v>Not Started</v>
      </c>
      <c r="U179" s="29"/>
    </row>
    <row r="180" customFormat="false" ht="15" hidden="false" customHeight="false" outlineLevel="2" collapsed="false">
      <c r="A180" s="33" t="s">
        <v>708</v>
      </c>
      <c r="B180" s="33" t="s">
        <v>709</v>
      </c>
      <c r="C180" s="34" t="s">
        <v>111</v>
      </c>
      <c r="D180" s="33" t="s">
        <v>657</v>
      </c>
      <c r="E180" s="33" t="s">
        <v>705</v>
      </c>
      <c r="F180" s="33" t="s">
        <v>710</v>
      </c>
      <c r="G180" s="33" t="s">
        <v>113</v>
      </c>
      <c r="H180" s="34" t="s">
        <v>659</v>
      </c>
      <c r="I180" s="33" t="s">
        <v>660</v>
      </c>
      <c r="J180" s="35" t="n">
        <v>1</v>
      </c>
      <c r="K180" s="33" t="s">
        <v>114</v>
      </c>
      <c r="L180" s="36" t="n">
        <v>10</v>
      </c>
      <c r="M180" s="37" t="s">
        <v>459</v>
      </c>
      <c r="N180" s="38" t="n">
        <f aca="false">IF($L180=0,O109,WORKDAY.INTL(O109,1,11))</f>
        <v>46760</v>
      </c>
      <c r="O180" s="38" t="n">
        <f aca="false">IF(L180=0,N180,WORKDAY.INTL(N180,L180-1,11))</f>
        <v>46771</v>
      </c>
      <c r="P180" s="34" t="s">
        <v>116</v>
      </c>
      <c r="Q180" s="39"/>
      <c r="R180" s="39"/>
      <c r="S180" s="40"/>
      <c r="T180" s="33" t="str">
        <f aca="false">IF(ISNUMBER(R180),"Completed",IF(ISNUMBER(Q180),"In Progress","Not Started"))</f>
        <v>Not Started</v>
      </c>
      <c r="U180" s="41"/>
    </row>
    <row r="181" customFormat="false" ht="15" hidden="false" customHeight="false" outlineLevel="2" collapsed="false">
      <c r="A181" s="33" t="s">
        <v>711</v>
      </c>
      <c r="B181" s="33" t="s">
        <v>712</v>
      </c>
      <c r="C181" s="34" t="s">
        <v>111</v>
      </c>
      <c r="D181" s="33" t="s">
        <v>657</v>
      </c>
      <c r="E181" s="33" t="s">
        <v>705</v>
      </c>
      <c r="F181" s="33" t="s">
        <v>713</v>
      </c>
      <c r="G181" s="33" t="s">
        <v>113</v>
      </c>
      <c r="H181" s="34" t="s">
        <v>659</v>
      </c>
      <c r="I181" s="33" t="s">
        <v>660</v>
      </c>
      <c r="J181" s="35" t="n">
        <v>1</v>
      </c>
      <c r="K181" s="33" t="s">
        <v>114</v>
      </c>
      <c r="L181" s="36" t="n">
        <v>8</v>
      </c>
      <c r="M181" s="37" t="s">
        <v>459</v>
      </c>
      <c r="N181" s="38" t="n">
        <f aca="false">IF($L181=0,O109,WORKDAY.INTL(O109,1,11))</f>
        <v>46760</v>
      </c>
      <c r="O181" s="38" t="n">
        <f aca="false">IF(L181=0,N181,WORKDAY.INTL(N181,L181-1,11))</f>
        <v>46769</v>
      </c>
      <c r="P181" s="34" t="s">
        <v>116</v>
      </c>
      <c r="Q181" s="39"/>
      <c r="R181" s="39"/>
      <c r="S181" s="40"/>
      <c r="T181" s="33" t="str">
        <f aca="false">IF(ISNUMBER(R181),"Completed",IF(ISNUMBER(Q181),"In Progress","Not Started"))</f>
        <v>Not Started</v>
      </c>
      <c r="U181" s="41"/>
    </row>
    <row r="182" customFormat="false" ht="15" hidden="false" customHeight="false" outlineLevel="0" collapsed="false">
      <c r="A182" s="21" t="s">
        <v>714</v>
      </c>
      <c r="B182" s="21" t="s">
        <v>715</v>
      </c>
      <c r="C182" s="22" t="s">
        <v>99</v>
      </c>
      <c r="D182" s="21" t="s">
        <v>716</v>
      </c>
      <c r="E182" s="21" t="s">
        <v>716</v>
      </c>
      <c r="F182" s="21" t="s">
        <v>717</v>
      </c>
      <c r="G182" s="21" t="s">
        <v>102</v>
      </c>
      <c r="H182" s="22" t="s">
        <v>718</v>
      </c>
      <c r="I182" s="21" t="s">
        <v>719</v>
      </c>
      <c r="J182" s="23"/>
      <c r="K182" s="23"/>
      <c r="L182" s="24" t="n">
        <f aca="false">NETWORKDAYS.INTL(N182,O182,11)</f>
        <v>176</v>
      </c>
      <c r="M182" s="23"/>
      <c r="N182" s="25" t="n">
        <f aca="false">MIN(N183:N195)</f>
        <v>46718</v>
      </c>
      <c r="O182" s="25" t="n">
        <f aca="false">MAX(O183:O195)</f>
        <v>46923</v>
      </c>
      <c r="P182" s="22" t="s">
        <v>96</v>
      </c>
      <c r="Q182" s="25" t="str">
        <f aca="false">IF(COUNT(Q183:Q195)=0,"",MIN(Q183:Q195))</f>
        <v/>
      </c>
      <c r="R182" s="25" t="str">
        <f aca="false">IF(COUNTIFS(P183:P195,"Y")=COUNTIFS(P183:P195,"Y",R183:R195,"&gt;0"),MAX(R183:R195),"")</f>
        <v/>
      </c>
      <c r="S182" s="26" t="n">
        <f aca="false">IFERROR(SUMPRODUCT((P183:P195="Y")*L183:L195*S183:S195)/SUMIFS(L183:L195,P183:P195,"Y"),0)</f>
        <v>0</v>
      </c>
      <c r="T182" s="21" t="str">
        <f aca="false">IF(ISNUMBER(R182),"Completed",IF(ISNUMBER(Q182),"In Progress","Not Started"))</f>
        <v>Not Started</v>
      </c>
      <c r="U182" s="23"/>
    </row>
    <row r="183" customFormat="false" ht="15" hidden="false" customHeight="false" outlineLevel="1" collapsed="false">
      <c r="A183" s="27" t="s">
        <v>720</v>
      </c>
      <c r="B183" s="27" t="s">
        <v>721</v>
      </c>
      <c r="C183" s="28" t="s">
        <v>107</v>
      </c>
      <c r="D183" s="27" t="s">
        <v>716</v>
      </c>
      <c r="E183" s="27" t="s">
        <v>714</v>
      </c>
      <c r="F183" s="27" t="s">
        <v>722</v>
      </c>
      <c r="G183" s="27" t="s">
        <v>102</v>
      </c>
      <c r="H183" s="28" t="s">
        <v>718</v>
      </c>
      <c r="I183" s="27" t="s">
        <v>719</v>
      </c>
      <c r="J183" s="29"/>
      <c r="K183" s="29"/>
      <c r="L183" s="30" t="n">
        <f aca="false">NETWORKDAYS.INTL(N183,O183,11)</f>
        <v>139</v>
      </c>
      <c r="M183" s="29"/>
      <c r="N183" s="31" t="n">
        <f aca="false">MIN(N184:N187)</f>
        <v>46718</v>
      </c>
      <c r="O183" s="31" t="n">
        <f aca="false">MAX(O184:O187)</f>
        <v>46879</v>
      </c>
      <c r="P183" s="28" t="s">
        <v>96</v>
      </c>
      <c r="Q183" s="31" t="str">
        <f aca="false">IF(COUNT(Q184:Q187)=0,"",MIN(Q184:Q187))</f>
        <v/>
      </c>
      <c r="R183" s="31" t="str">
        <f aca="false">IF(COUNTIFS(P184:P187,"Y")=COUNTIFS(P184:P187,"Y",R184:R187,"&gt;0"),MAX(R184:R187),"")</f>
        <v/>
      </c>
      <c r="S183" s="32" t="n">
        <f aca="false">IFERROR(SUMPRODUCT((P184:P187="Y")*L184:L187*S184:S187)/SUMIFS(L184:L187,P184:P187,"Y"),0)</f>
        <v>0</v>
      </c>
      <c r="T183" s="27" t="str">
        <f aca="false">IF(ISNUMBER(R183),"Completed",IF(ISNUMBER(Q183),"In Progress","Not Started"))</f>
        <v>Not Started</v>
      </c>
      <c r="U183" s="29"/>
    </row>
    <row r="184" customFormat="false" ht="15" hidden="false" customHeight="false" outlineLevel="2" collapsed="false">
      <c r="A184" s="33" t="s">
        <v>723</v>
      </c>
      <c r="B184" s="33" t="s">
        <v>724</v>
      </c>
      <c r="C184" s="34" t="s">
        <v>111</v>
      </c>
      <c r="D184" s="33" t="s">
        <v>716</v>
      </c>
      <c r="E184" s="33" t="s">
        <v>720</v>
      </c>
      <c r="F184" s="33" t="s">
        <v>725</v>
      </c>
      <c r="G184" s="33" t="s">
        <v>113</v>
      </c>
      <c r="H184" s="34" t="s">
        <v>718</v>
      </c>
      <c r="I184" s="33" t="s">
        <v>719</v>
      </c>
      <c r="J184" s="35" t="n">
        <v>1</v>
      </c>
      <c r="K184" s="33" t="s">
        <v>151</v>
      </c>
      <c r="L184" s="36" t="n">
        <v>8</v>
      </c>
      <c r="M184" s="37" t="s">
        <v>726</v>
      </c>
      <c r="N184" s="38" t="n">
        <f aca="false">MAX(IF($L184=0,O11,WORKDAY.INTL(O11,1,11)),IF($L184=0,O117,WORKDAY.INTL(O117,1,11)))</f>
        <v>46869</v>
      </c>
      <c r="O184" s="38" t="n">
        <f aca="false">IF(L184=0,N184,WORKDAY.INTL(N184,L184-1,11))</f>
        <v>46877</v>
      </c>
      <c r="P184" s="34" t="s">
        <v>116</v>
      </c>
      <c r="Q184" s="39"/>
      <c r="R184" s="39"/>
      <c r="S184" s="40"/>
      <c r="T184" s="33" t="str">
        <f aca="false">IF(ISNUMBER(R184),"Completed",IF(ISNUMBER(Q184),"In Progress","Not Started"))</f>
        <v>Not Started</v>
      </c>
      <c r="U184" s="41"/>
    </row>
    <row r="185" customFormat="false" ht="15" hidden="false" customHeight="false" outlineLevel="2" collapsed="false">
      <c r="A185" s="33" t="s">
        <v>727</v>
      </c>
      <c r="B185" s="33" t="s">
        <v>728</v>
      </c>
      <c r="C185" s="34" t="s">
        <v>111</v>
      </c>
      <c r="D185" s="33" t="s">
        <v>716</v>
      </c>
      <c r="E185" s="33" t="s">
        <v>720</v>
      </c>
      <c r="F185" s="33" t="s">
        <v>729</v>
      </c>
      <c r="G185" s="33" t="s">
        <v>113</v>
      </c>
      <c r="H185" s="34" t="s">
        <v>718</v>
      </c>
      <c r="I185" s="33" t="s">
        <v>719</v>
      </c>
      <c r="J185" s="35" t="n">
        <v>8</v>
      </c>
      <c r="K185" s="33" t="s">
        <v>151</v>
      </c>
      <c r="L185" s="36" t="n">
        <v>10</v>
      </c>
      <c r="M185" s="37" t="s">
        <v>726</v>
      </c>
      <c r="N185" s="38" t="n">
        <f aca="false">MAX(IF($L185=0,O11,WORKDAY.INTL(O11,1,11)),IF($L185=0,O117,WORKDAY.INTL(O117,1,11)))</f>
        <v>46869</v>
      </c>
      <c r="O185" s="38" t="n">
        <f aca="false">IF(L185=0,N185,WORKDAY.INTL(N185,L185-1,11))</f>
        <v>46879</v>
      </c>
      <c r="P185" s="34" t="s">
        <v>116</v>
      </c>
      <c r="Q185" s="39"/>
      <c r="R185" s="39"/>
      <c r="S185" s="40"/>
      <c r="T185" s="33" t="str">
        <f aca="false">IF(ISNUMBER(R185),"Completed",IF(ISNUMBER(Q185),"In Progress","Not Started"))</f>
        <v>Not Started</v>
      </c>
      <c r="U185" s="41"/>
    </row>
    <row r="186" customFormat="false" ht="15" hidden="false" customHeight="false" outlineLevel="2" collapsed="false">
      <c r="A186" s="33" t="s">
        <v>730</v>
      </c>
      <c r="B186" s="33" t="s">
        <v>731</v>
      </c>
      <c r="C186" s="34" t="s">
        <v>111</v>
      </c>
      <c r="D186" s="33" t="s">
        <v>716</v>
      </c>
      <c r="E186" s="33" t="s">
        <v>720</v>
      </c>
      <c r="F186" s="33" t="s">
        <v>732</v>
      </c>
      <c r="G186" s="33" t="s">
        <v>113</v>
      </c>
      <c r="H186" s="34" t="s">
        <v>718</v>
      </c>
      <c r="I186" s="33" t="s">
        <v>719</v>
      </c>
      <c r="J186" s="35" t="n">
        <v>1</v>
      </c>
      <c r="K186" s="33" t="s">
        <v>151</v>
      </c>
      <c r="L186" s="36" t="n">
        <v>6</v>
      </c>
      <c r="M186" s="37" t="s">
        <v>726</v>
      </c>
      <c r="N186" s="38" t="n">
        <f aca="false">MAX(IF($L186=0,O11,WORKDAY.INTL(O11,1,11)),IF($L186=0,O117,WORKDAY.INTL(O117,1,11)))</f>
        <v>46869</v>
      </c>
      <c r="O186" s="38" t="n">
        <f aca="false">IF(L186=0,N186,WORKDAY.INTL(N186,L186-1,11))</f>
        <v>46875</v>
      </c>
      <c r="P186" s="34" t="s">
        <v>116</v>
      </c>
      <c r="Q186" s="39"/>
      <c r="R186" s="39"/>
      <c r="S186" s="40"/>
      <c r="T186" s="33" t="str">
        <f aca="false">IF(ISNUMBER(R186),"Completed",IF(ISNUMBER(Q186),"In Progress","Not Started"))</f>
        <v>Not Started</v>
      </c>
      <c r="U186" s="41"/>
    </row>
    <row r="187" customFormat="false" ht="15" hidden="false" customHeight="false" outlineLevel="2" collapsed="false">
      <c r="A187" s="33" t="s">
        <v>733</v>
      </c>
      <c r="B187" s="33" t="s">
        <v>734</v>
      </c>
      <c r="C187" s="34" t="s">
        <v>111</v>
      </c>
      <c r="D187" s="33" t="s">
        <v>716</v>
      </c>
      <c r="E187" s="33" t="s">
        <v>720</v>
      </c>
      <c r="F187" s="33" t="s">
        <v>735</v>
      </c>
      <c r="G187" s="33" t="s">
        <v>113</v>
      </c>
      <c r="H187" s="34" t="s">
        <v>718</v>
      </c>
      <c r="I187" s="33" t="s">
        <v>719</v>
      </c>
      <c r="J187" s="35" t="n">
        <v>1</v>
      </c>
      <c r="K187" s="33" t="s">
        <v>114</v>
      </c>
      <c r="L187" s="36" t="n">
        <v>14</v>
      </c>
      <c r="M187" s="37" t="s">
        <v>696</v>
      </c>
      <c r="N187" s="38" t="n">
        <f aca="false">IF($L187=0,O44,WORKDAY.INTL(O44,1,11))</f>
        <v>46718</v>
      </c>
      <c r="O187" s="38" t="n">
        <f aca="false">IF(L187=0,N187,WORKDAY.INTL(N187,L187-1,11))</f>
        <v>46734</v>
      </c>
      <c r="P187" s="34" t="s">
        <v>116</v>
      </c>
      <c r="Q187" s="39"/>
      <c r="R187" s="39"/>
      <c r="S187" s="40"/>
      <c r="T187" s="33" t="str">
        <f aca="false">IF(ISNUMBER(R187),"Completed",IF(ISNUMBER(Q187),"In Progress","Not Started"))</f>
        <v>Not Started</v>
      </c>
      <c r="U187" s="41"/>
    </row>
    <row r="188" customFormat="false" ht="15" hidden="false" customHeight="false" outlineLevel="1" collapsed="false">
      <c r="A188" s="27" t="s">
        <v>736</v>
      </c>
      <c r="B188" s="27" t="s">
        <v>737</v>
      </c>
      <c r="C188" s="28" t="s">
        <v>107</v>
      </c>
      <c r="D188" s="27" t="s">
        <v>716</v>
      </c>
      <c r="E188" s="27" t="s">
        <v>714</v>
      </c>
      <c r="F188" s="27" t="s">
        <v>738</v>
      </c>
      <c r="G188" s="27" t="s">
        <v>102</v>
      </c>
      <c r="H188" s="28" t="s">
        <v>718</v>
      </c>
      <c r="I188" s="27" t="s">
        <v>719</v>
      </c>
      <c r="J188" s="29"/>
      <c r="K188" s="29"/>
      <c r="L188" s="30" t="n">
        <f aca="false">NETWORKDAYS.INTL(N188,O188,11)</f>
        <v>97</v>
      </c>
      <c r="M188" s="29"/>
      <c r="N188" s="31" t="n">
        <f aca="false">MIN(N189:N191)</f>
        <v>46805</v>
      </c>
      <c r="O188" s="31" t="n">
        <f aca="false">MAX(O189:O191)</f>
        <v>46917</v>
      </c>
      <c r="P188" s="28" t="s">
        <v>96</v>
      </c>
      <c r="Q188" s="31" t="str">
        <f aca="false">IF(COUNT(Q189:Q191)=0,"",MIN(Q189:Q191))</f>
        <v/>
      </c>
      <c r="R188" s="31" t="str">
        <f aca="false">IF(COUNTIFS(P189:P191,"Y")=COUNTIFS(P189:P191,"Y",R189:R191,"&gt;0"),MAX(R189:R191),"")</f>
        <v/>
      </c>
      <c r="S188" s="32" t="n">
        <f aca="false">IFERROR(SUMPRODUCT((P189:P191="Y")*L189:L191*S189:S191)/SUMIFS(L189:L191,P189:P191,"Y"),0)</f>
        <v>0</v>
      </c>
      <c r="T188" s="27" t="str">
        <f aca="false">IF(ISNUMBER(R188),"Completed",IF(ISNUMBER(Q188),"In Progress","Not Started"))</f>
        <v>Not Started</v>
      </c>
      <c r="U188" s="29"/>
    </row>
    <row r="189" customFormat="false" ht="15" hidden="false" customHeight="false" outlineLevel="2" collapsed="false">
      <c r="A189" s="33" t="s">
        <v>739</v>
      </c>
      <c r="B189" s="33" t="s">
        <v>740</v>
      </c>
      <c r="C189" s="34" t="s">
        <v>111</v>
      </c>
      <c r="D189" s="33" t="s">
        <v>716</v>
      </c>
      <c r="E189" s="33" t="s">
        <v>736</v>
      </c>
      <c r="F189" s="33" t="s">
        <v>741</v>
      </c>
      <c r="G189" s="33" t="s">
        <v>113</v>
      </c>
      <c r="H189" s="34" t="s">
        <v>718</v>
      </c>
      <c r="I189" s="33" t="s">
        <v>719</v>
      </c>
      <c r="J189" s="35" t="n">
        <v>3500</v>
      </c>
      <c r="K189" s="33" t="s">
        <v>130</v>
      </c>
      <c r="L189" s="36" t="n">
        <v>15</v>
      </c>
      <c r="M189" s="37" t="s">
        <v>742</v>
      </c>
      <c r="N189" s="38" t="n">
        <f aca="false">MAX(IF($L189=0,O136,WORKDAY.INTL(O136,1,11)),IF($L189=0,O120,WORKDAY.INTL(O120,1,11)))</f>
        <v>46805</v>
      </c>
      <c r="O189" s="38" t="n">
        <f aca="false">IF(L189=0,N189,WORKDAY.INTL(N189,L189-1,11))</f>
        <v>46821</v>
      </c>
      <c r="P189" s="34" t="s">
        <v>116</v>
      </c>
      <c r="Q189" s="39"/>
      <c r="R189" s="39"/>
      <c r="S189" s="40"/>
      <c r="T189" s="33" t="str">
        <f aca="false">IF(ISNUMBER(R189),"Completed",IF(ISNUMBER(Q189),"In Progress","Not Started"))</f>
        <v>Not Started</v>
      </c>
      <c r="U189" s="41"/>
    </row>
    <row r="190" customFormat="false" ht="15" hidden="false" customHeight="false" outlineLevel="2" collapsed="false">
      <c r="A190" s="33" t="s">
        <v>743</v>
      </c>
      <c r="B190" s="33" t="s">
        <v>744</v>
      </c>
      <c r="C190" s="34" t="s">
        <v>111</v>
      </c>
      <c r="D190" s="33" t="s">
        <v>716</v>
      </c>
      <c r="E190" s="33" t="s">
        <v>736</v>
      </c>
      <c r="F190" s="33" t="s">
        <v>745</v>
      </c>
      <c r="G190" s="33" t="s">
        <v>113</v>
      </c>
      <c r="H190" s="34" t="s">
        <v>718</v>
      </c>
      <c r="I190" s="33" t="s">
        <v>719</v>
      </c>
      <c r="J190" s="35" t="n">
        <v>18000</v>
      </c>
      <c r="K190" s="33" t="s">
        <v>130</v>
      </c>
      <c r="L190" s="36" t="n">
        <v>18</v>
      </c>
      <c r="M190" s="37" t="s">
        <v>746</v>
      </c>
      <c r="N190" s="38" t="n">
        <f aca="false">MAX(IF($L190=0,O189,WORKDAY.INTL(O189,1,11)),IF($L190=0,O185,WORKDAY.INTL(O185,1,11)))</f>
        <v>46881</v>
      </c>
      <c r="O190" s="38" t="n">
        <f aca="false">IF(L190=0,N190,WORKDAY.INTL(N190,L190-1,11))</f>
        <v>46900</v>
      </c>
      <c r="P190" s="34" t="s">
        <v>116</v>
      </c>
      <c r="Q190" s="39"/>
      <c r="R190" s="39"/>
      <c r="S190" s="40"/>
      <c r="T190" s="33" t="str">
        <f aca="false">IF(ISNUMBER(R190),"Completed",IF(ISNUMBER(Q190),"In Progress","Not Started"))</f>
        <v>Not Started</v>
      </c>
      <c r="U190" s="41"/>
    </row>
    <row r="191" customFormat="false" ht="23.85" hidden="false" customHeight="false" outlineLevel="2" collapsed="false">
      <c r="A191" s="33" t="s">
        <v>747</v>
      </c>
      <c r="B191" s="33" t="s">
        <v>748</v>
      </c>
      <c r="C191" s="34" t="s">
        <v>111</v>
      </c>
      <c r="D191" s="33" t="s">
        <v>716</v>
      </c>
      <c r="E191" s="33" t="s">
        <v>736</v>
      </c>
      <c r="F191" s="33" t="s">
        <v>749</v>
      </c>
      <c r="G191" s="33" t="s">
        <v>113</v>
      </c>
      <c r="H191" s="34" t="s">
        <v>718</v>
      </c>
      <c r="I191" s="33" t="s">
        <v>719</v>
      </c>
      <c r="J191" s="35" t="n">
        <v>420</v>
      </c>
      <c r="K191" s="33" t="s">
        <v>151</v>
      </c>
      <c r="L191" s="36" t="n">
        <v>14</v>
      </c>
      <c r="M191" s="37" t="s">
        <v>750</v>
      </c>
      <c r="N191" s="38" t="n">
        <f aca="false">MAX(IF($L191=0,O190,WORKDAY.INTL(O190,1,11)),IF($L191=0,O165,WORKDAY.INTL(O165,1,11)),IF($L191=0,O149,WORKDAY.INTL(O149,1,11)))</f>
        <v>46902</v>
      </c>
      <c r="O191" s="38" t="n">
        <f aca="false">IF(L191=0,N191,WORKDAY.INTL(N191,L191-1,11))</f>
        <v>46917</v>
      </c>
      <c r="P191" s="34" t="s">
        <v>116</v>
      </c>
      <c r="Q191" s="39"/>
      <c r="R191" s="39"/>
      <c r="S191" s="40"/>
      <c r="T191" s="33" t="str">
        <f aca="false">IF(ISNUMBER(R191),"Completed",IF(ISNUMBER(Q191),"In Progress","Not Started"))</f>
        <v>Not Started</v>
      </c>
      <c r="U191" s="41"/>
    </row>
    <row r="192" customFormat="false" ht="15" hidden="false" customHeight="false" outlineLevel="1" collapsed="false">
      <c r="A192" s="27" t="s">
        <v>751</v>
      </c>
      <c r="B192" s="27" t="s">
        <v>752</v>
      </c>
      <c r="C192" s="28" t="s">
        <v>107</v>
      </c>
      <c r="D192" s="27" t="s">
        <v>716</v>
      </c>
      <c r="E192" s="27" t="s">
        <v>714</v>
      </c>
      <c r="F192" s="27" t="s">
        <v>753</v>
      </c>
      <c r="G192" s="27" t="s">
        <v>102</v>
      </c>
      <c r="H192" s="28" t="s">
        <v>718</v>
      </c>
      <c r="I192" s="27" t="s">
        <v>719</v>
      </c>
      <c r="J192" s="29"/>
      <c r="K192" s="29"/>
      <c r="L192" s="30" t="n">
        <f aca="false">NETWORKDAYS.INTL(N192,O192,11)</f>
        <v>102</v>
      </c>
      <c r="M192" s="29"/>
      <c r="N192" s="31" t="n">
        <f aca="false">MIN(N193:N195)</f>
        <v>46805</v>
      </c>
      <c r="O192" s="31" t="n">
        <f aca="false">MAX(O193:O195)</f>
        <v>46923</v>
      </c>
      <c r="P192" s="28" t="s">
        <v>96</v>
      </c>
      <c r="Q192" s="31" t="str">
        <f aca="false">IF(COUNT(Q193:Q195)=0,"",MIN(Q193:Q195))</f>
        <v/>
      </c>
      <c r="R192" s="31" t="str">
        <f aca="false">IF(COUNTIFS(P193:P195,"Y")=COUNTIFS(P193:P195,"Y",R193:R195,"&gt;0"),MAX(R193:R195),"")</f>
        <v/>
      </c>
      <c r="S192" s="32" t="n">
        <f aca="false">IFERROR(SUMPRODUCT((P193:P195="Y")*L193:L195*S193:S195)/SUMIFS(L193:L195,P193:P195,"Y"),0)</f>
        <v>0</v>
      </c>
      <c r="T192" s="27" t="str">
        <f aca="false">IF(ISNUMBER(R192),"Completed",IF(ISNUMBER(Q192),"In Progress","Not Started"))</f>
        <v>Not Started</v>
      </c>
      <c r="U192" s="29"/>
    </row>
    <row r="193" customFormat="false" ht="15" hidden="false" customHeight="false" outlineLevel="2" collapsed="false">
      <c r="A193" s="33" t="s">
        <v>754</v>
      </c>
      <c r="B193" s="33" t="s">
        <v>755</v>
      </c>
      <c r="C193" s="34" t="s">
        <v>111</v>
      </c>
      <c r="D193" s="33" t="s">
        <v>716</v>
      </c>
      <c r="E193" s="33" t="s">
        <v>751</v>
      </c>
      <c r="F193" s="33" t="s">
        <v>756</v>
      </c>
      <c r="G193" s="33" t="s">
        <v>113</v>
      </c>
      <c r="H193" s="34" t="s">
        <v>718</v>
      </c>
      <c r="I193" s="33" t="s">
        <v>719</v>
      </c>
      <c r="J193" s="35" t="n">
        <v>1</v>
      </c>
      <c r="K193" s="33" t="s">
        <v>114</v>
      </c>
      <c r="L193" s="36" t="n">
        <v>14</v>
      </c>
      <c r="M193" s="37" t="s">
        <v>757</v>
      </c>
      <c r="N193" s="38" t="n">
        <f aca="false">MAX(IF($L193=0,O111,WORKDAY.INTL(O111,1,11)),IF($L193=0,O136,WORKDAY.INTL(O136,1,11)))</f>
        <v>46805</v>
      </c>
      <c r="O193" s="38" t="n">
        <f aca="false">IF(L193=0,N193,WORKDAY.INTL(N193,L193-1,11))</f>
        <v>46820</v>
      </c>
      <c r="P193" s="34" t="s">
        <v>116</v>
      </c>
      <c r="Q193" s="39"/>
      <c r="R193" s="39"/>
      <c r="S193" s="40"/>
      <c r="T193" s="33" t="str">
        <f aca="false">IF(ISNUMBER(R193),"Completed",IF(ISNUMBER(Q193),"In Progress","Not Started"))</f>
        <v>Not Started</v>
      </c>
      <c r="U193" s="41"/>
    </row>
    <row r="194" customFormat="false" ht="15" hidden="false" customHeight="false" outlineLevel="2" collapsed="false">
      <c r="A194" s="33" t="s">
        <v>758</v>
      </c>
      <c r="B194" s="33" t="s">
        <v>759</v>
      </c>
      <c r="C194" s="34" t="s">
        <v>111</v>
      </c>
      <c r="D194" s="33" t="s">
        <v>716</v>
      </c>
      <c r="E194" s="33" t="s">
        <v>751</v>
      </c>
      <c r="F194" s="33" t="s">
        <v>760</v>
      </c>
      <c r="G194" s="33" t="s">
        <v>113</v>
      </c>
      <c r="H194" s="34" t="s">
        <v>718</v>
      </c>
      <c r="I194" s="33" t="s">
        <v>719</v>
      </c>
      <c r="J194" s="35" t="n">
        <v>28</v>
      </c>
      <c r="K194" s="33" t="s">
        <v>151</v>
      </c>
      <c r="L194" s="36" t="n">
        <v>10</v>
      </c>
      <c r="M194" s="37" t="s">
        <v>238</v>
      </c>
      <c r="N194" s="38" t="n">
        <f aca="false">IF($L194=0,O46,WORKDAY.INTL(O46,1,11))</f>
        <v>46870</v>
      </c>
      <c r="O194" s="38" t="n">
        <f aca="false">IF(L194=0,N194,WORKDAY.INTL(N194,L194-1,11))</f>
        <v>46881</v>
      </c>
      <c r="P194" s="34" t="s">
        <v>116</v>
      </c>
      <c r="Q194" s="39"/>
      <c r="R194" s="39"/>
      <c r="S194" s="40"/>
      <c r="T194" s="33" t="str">
        <f aca="false">IF(ISNUMBER(R194),"Completed",IF(ISNUMBER(Q194),"In Progress","Not Started"))</f>
        <v>Not Started</v>
      </c>
      <c r="U194" s="41"/>
    </row>
    <row r="195" customFormat="false" ht="15" hidden="false" customHeight="false" outlineLevel="2" collapsed="false">
      <c r="A195" s="33" t="s">
        <v>761</v>
      </c>
      <c r="B195" s="33" t="s">
        <v>762</v>
      </c>
      <c r="C195" s="34" t="s">
        <v>111</v>
      </c>
      <c r="D195" s="33" t="s">
        <v>716</v>
      </c>
      <c r="E195" s="33" t="s">
        <v>751</v>
      </c>
      <c r="F195" s="33" t="s">
        <v>763</v>
      </c>
      <c r="G195" s="33" t="s">
        <v>113</v>
      </c>
      <c r="H195" s="34" t="s">
        <v>718</v>
      </c>
      <c r="I195" s="33" t="s">
        <v>719</v>
      </c>
      <c r="J195" s="35" t="n">
        <v>40</v>
      </c>
      <c r="K195" s="33" t="s">
        <v>151</v>
      </c>
      <c r="L195" s="36" t="n">
        <v>5</v>
      </c>
      <c r="M195" s="37" t="s">
        <v>764</v>
      </c>
      <c r="N195" s="38" t="n">
        <f aca="false">IF($L195=0,O191,WORKDAY.INTL(O191,1,11))</f>
        <v>46918</v>
      </c>
      <c r="O195" s="38" t="n">
        <f aca="false">IF(L195=0,N195,WORKDAY.INTL(N195,L195-1,11))</f>
        <v>46923</v>
      </c>
      <c r="P195" s="34" t="s">
        <v>116</v>
      </c>
      <c r="Q195" s="39"/>
      <c r="R195" s="39"/>
      <c r="S195" s="40"/>
      <c r="T195" s="33" t="str">
        <f aca="false">IF(ISNUMBER(R195),"Completed",IF(ISNUMBER(Q195),"In Progress","Not Started"))</f>
        <v>Not Started</v>
      </c>
      <c r="U195" s="41"/>
    </row>
    <row r="196" customFormat="false" ht="15" hidden="false" customHeight="false" outlineLevel="0" collapsed="false">
      <c r="A196" s="21" t="s">
        <v>765</v>
      </c>
      <c r="B196" s="21" t="s">
        <v>766</v>
      </c>
      <c r="C196" s="22" t="s">
        <v>99</v>
      </c>
      <c r="D196" s="21" t="s">
        <v>767</v>
      </c>
      <c r="E196" s="21" t="s">
        <v>767</v>
      </c>
      <c r="F196" s="21" t="s">
        <v>768</v>
      </c>
      <c r="G196" s="21" t="s">
        <v>102</v>
      </c>
      <c r="H196" s="22" t="s">
        <v>769</v>
      </c>
      <c r="I196" s="21" t="s">
        <v>770</v>
      </c>
      <c r="J196" s="23"/>
      <c r="K196" s="23"/>
      <c r="L196" s="24" t="n">
        <f aca="false">NETWORKDAYS.INTL(N196,O196,11)</f>
        <v>107</v>
      </c>
      <c r="M196" s="23"/>
      <c r="N196" s="25" t="n">
        <f aca="false">MIN(N197:N204)</f>
        <v>46805</v>
      </c>
      <c r="O196" s="25" t="n">
        <f aca="false">MAX(O197:O204)</f>
        <v>46928</v>
      </c>
      <c r="P196" s="22" t="s">
        <v>96</v>
      </c>
      <c r="Q196" s="25" t="str">
        <f aca="false">IF(COUNT(Q197:Q204)=0,"",MIN(Q197:Q204))</f>
        <v/>
      </c>
      <c r="R196" s="25" t="str">
        <f aca="false">IF(COUNTIFS(P197:P204,"Y")=COUNTIFS(P197:P204,"Y",R197:R204,"&gt;0"),MAX(R197:R204),"")</f>
        <v/>
      </c>
      <c r="S196" s="26" t="n">
        <f aca="false">IFERROR(SUMPRODUCT((P197:P204="Y")*L197:L204*S197:S204)/SUMIFS(L197:L204,P197:P204,"Y"),0)</f>
        <v>0</v>
      </c>
      <c r="T196" s="21" t="str">
        <f aca="false">IF(ISNUMBER(R196),"Completed",IF(ISNUMBER(Q196),"In Progress","Not Started"))</f>
        <v>Not Started</v>
      </c>
      <c r="U196" s="23"/>
    </row>
    <row r="197" customFormat="false" ht="15" hidden="false" customHeight="false" outlineLevel="1" collapsed="false">
      <c r="A197" s="27" t="s">
        <v>771</v>
      </c>
      <c r="B197" s="27" t="s">
        <v>772</v>
      </c>
      <c r="C197" s="28" t="s">
        <v>107</v>
      </c>
      <c r="D197" s="27" t="s">
        <v>767</v>
      </c>
      <c r="E197" s="27" t="s">
        <v>765</v>
      </c>
      <c r="F197" s="27" t="s">
        <v>773</v>
      </c>
      <c r="G197" s="27" t="s">
        <v>102</v>
      </c>
      <c r="H197" s="28" t="s">
        <v>769</v>
      </c>
      <c r="I197" s="27" t="s">
        <v>770</v>
      </c>
      <c r="J197" s="29"/>
      <c r="K197" s="29"/>
      <c r="L197" s="30" t="n">
        <f aca="false">NETWORKDAYS.INTL(N197,O197,11)</f>
        <v>102</v>
      </c>
      <c r="M197" s="29"/>
      <c r="N197" s="31" t="n">
        <f aca="false">MIN(N198:N200)</f>
        <v>46811</v>
      </c>
      <c r="O197" s="31" t="n">
        <f aca="false">MAX(O198:O200)</f>
        <v>46928</v>
      </c>
      <c r="P197" s="28" t="s">
        <v>96</v>
      </c>
      <c r="Q197" s="31" t="str">
        <f aca="false">IF(COUNT(Q198:Q200)=0,"",MIN(Q198:Q200))</f>
        <v/>
      </c>
      <c r="R197" s="31" t="str">
        <f aca="false">IF(COUNTIFS(P198:P200,"Y")=COUNTIFS(P198:P200,"Y",R198:R200,"&gt;0"),MAX(R198:R200),"")</f>
        <v/>
      </c>
      <c r="S197" s="32" t="n">
        <f aca="false">IFERROR(SUMPRODUCT((P198:P200="Y")*L198:L200*S198:S200)/SUMIFS(L198:L200,P198:P200,"Y"),0)</f>
        <v>0</v>
      </c>
      <c r="T197" s="27" t="str">
        <f aca="false">IF(ISNUMBER(R197),"Completed",IF(ISNUMBER(Q197),"In Progress","Not Started"))</f>
        <v>Not Started</v>
      </c>
      <c r="U197" s="29"/>
    </row>
    <row r="198" customFormat="false" ht="15" hidden="false" customHeight="false" outlineLevel="2" collapsed="false">
      <c r="A198" s="33" t="s">
        <v>774</v>
      </c>
      <c r="B198" s="33" t="s">
        <v>775</v>
      </c>
      <c r="C198" s="34" t="s">
        <v>111</v>
      </c>
      <c r="D198" s="33" t="s">
        <v>767</v>
      </c>
      <c r="E198" s="33" t="s">
        <v>771</v>
      </c>
      <c r="F198" s="33" t="s">
        <v>776</v>
      </c>
      <c r="G198" s="33" t="s">
        <v>113</v>
      </c>
      <c r="H198" s="34" t="s">
        <v>769</v>
      </c>
      <c r="I198" s="33" t="s">
        <v>770</v>
      </c>
      <c r="J198" s="35" t="n">
        <v>2200</v>
      </c>
      <c r="K198" s="33" t="s">
        <v>130</v>
      </c>
      <c r="L198" s="36" t="n">
        <v>10</v>
      </c>
      <c r="M198" s="37" t="s">
        <v>777</v>
      </c>
      <c r="N198" s="38" t="n">
        <f aca="false">WORKDAY.INTL(N189,5,11)</f>
        <v>46811</v>
      </c>
      <c r="O198" s="38" t="n">
        <f aca="false">IF(L198=0,N198,WORKDAY.INTL(N198,L198-1,11))</f>
        <v>46821</v>
      </c>
      <c r="P198" s="34" t="s">
        <v>116</v>
      </c>
      <c r="Q198" s="39"/>
      <c r="R198" s="39"/>
      <c r="S198" s="40"/>
      <c r="T198" s="33" t="str">
        <f aca="false">IF(ISNUMBER(R198),"Completed",IF(ISNUMBER(Q198),"In Progress","Not Started"))</f>
        <v>Not Started</v>
      </c>
      <c r="U198" s="41"/>
    </row>
    <row r="199" customFormat="false" ht="15" hidden="false" customHeight="false" outlineLevel="2" collapsed="false">
      <c r="A199" s="33" t="s">
        <v>778</v>
      </c>
      <c r="B199" s="33" t="s">
        <v>779</v>
      </c>
      <c r="C199" s="34" t="s">
        <v>111</v>
      </c>
      <c r="D199" s="33" t="s">
        <v>767</v>
      </c>
      <c r="E199" s="33" t="s">
        <v>771</v>
      </c>
      <c r="F199" s="33" t="s">
        <v>780</v>
      </c>
      <c r="G199" s="33" t="s">
        <v>113</v>
      </c>
      <c r="H199" s="34" t="s">
        <v>769</v>
      </c>
      <c r="I199" s="33" t="s">
        <v>770</v>
      </c>
      <c r="J199" s="35" t="n">
        <v>110</v>
      </c>
      <c r="K199" s="33" t="s">
        <v>151</v>
      </c>
      <c r="L199" s="36" t="n">
        <v>10</v>
      </c>
      <c r="M199" s="37" t="s">
        <v>781</v>
      </c>
      <c r="N199" s="38" t="n">
        <f aca="false">MAX(IF($L199=0,O12,WORKDAY.INTL(O12,1,11)),IF($L199=0,O149,WORKDAY.INTL(O149,1,11)))</f>
        <v>46904</v>
      </c>
      <c r="O199" s="38" t="n">
        <f aca="false">IF(L199=0,N199,WORKDAY.INTL(N199,L199-1,11))</f>
        <v>46914</v>
      </c>
      <c r="P199" s="34" t="s">
        <v>116</v>
      </c>
      <c r="Q199" s="39"/>
      <c r="R199" s="39"/>
      <c r="S199" s="40"/>
      <c r="T199" s="33" t="str">
        <f aca="false">IF(ISNUMBER(R199),"Completed",IF(ISNUMBER(Q199),"In Progress","Not Started"))</f>
        <v>Not Started</v>
      </c>
      <c r="U199" s="41"/>
    </row>
    <row r="200" customFormat="false" ht="15" hidden="false" customHeight="false" outlineLevel="2" collapsed="false">
      <c r="A200" s="33" t="s">
        <v>782</v>
      </c>
      <c r="B200" s="33" t="s">
        <v>783</v>
      </c>
      <c r="C200" s="34" t="s">
        <v>111</v>
      </c>
      <c r="D200" s="33" t="s">
        <v>767</v>
      </c>
      <c r="E200" s="33" t="s">
        <v>771</v>
      </c>
      <c r="F200" s="33" t="s">
        <v>784</v>
      </c>
      <c r="G200" s="33" t="s">
        <v>113</v>
      </c>
      <c r="H200" s="34" t="s">
        <v>769</v>
      </c>
      <c r="I200" s="33" t="s">
        <v>770</v>
      </c>
      <c r="J200" s="35" t="n">
        <v>9000</v>
      </c>
      <c r="K200" s="33" t="s">
        <v>130</v>
      </c>
      <c r="L200" s="36" t="n">
        <v>12</v>
      </c>
      <c r="M200" s="37" t="s">
        <v>785</v>
      </c>
      <c r="N200" s="38" t="n">
        <f aca="false">MAX(IF($L200=0,O198,WORKDAY.INTL(O198,1,11)),IF($L200=0,O199,WORKDAY.INTL(O199,1,11)))</f>
        <v>46916</v>
      </c>
      <c r="O200" s="38" t="n">
        <f aca="false">IF(L200=0,N200,WORKDAY.INTL(N200,L200-1,11))</f>
        <v>46928</v>
      </c>
      <c r="P200" s="34" t="s">
        <v>116</v>
      </c>
      <c r="Q200" s="39"/>
      <c r="R200" s="39"/>
      <c r="S200" s="40"/>
      <c r="T200" s="33" t="str">
        <f aca="false">IF(ISNUMBER(R200),"Completed",IF(ISNUMBER(Q200),"In Progress","Not Started"))</f>
        <v>Not Started</v>
      </c>
      <c r="U200" s="41"/>
    </row>
    <row r="201" customFormat="false" ht="15" hidden="false" customHeight="false" outlineLevel="1" collapsed="false">
      <c r="A201" s="27" t="s">
        <v>786</v>
      </c>
      <c r="B201" s="27" t="s">
        <v>787</v>
      </c>
      <c r="C201" s="28" t="s">
        <v>107</v>
      </c>
      <c r="D201" s="27" t="s">
        <v>767</v>
      </c>
      <c r="E201" s="27" t="s">
        <v>765</v>
      </c>
      <c r="F201" s="27" t="s">
        <v>788</v>
      </c>
      <c r="G201" s="27" t="s">
        <v>102</v>
      </c>
      <c r="H201" s="28" t="s">
        <v>769</v>
      </c>
      <c r="I201" s="27" t="s">
        <v>770</v>
      </c>
      <c r="J201" s="29"/>
      <c r="K201" s="29"/>
      <c r="L201" s="30" t="n">
        <f aca="false">NETWORKDAYS.INTL(N201,O201,11)</f>
        <v>98</v>
      </c>
      <c r="M201" s="29"/>
      <c r="N201" s="31" t="n">
        <f aca="false">MIN(N202:N204)</f>
        <v>46805</v>
      </c>
      <c r="O201" s="31" t="n">
        <f aca="false">MAX(O202:O204)</f>
        <v>46918</v>
      </c>
      <c r="P201" s="28" t="s">
        <v>96</v>
      </c>
      <c r="Q201" s="31" t="str">
        <f aca="false">IF(COUNT(Q202:Q204)=0,"",MIN(Q202:Q204))</f>
        <v/>
      </c>
      <c r="R201" s="31" t="str">
        <f aca="false">IF(COUNTIFS(P202:P204,"Y")=COUNTIFS(P202:P204,"Y",R202:R204,"&gt;0"),MAX(R202:R204),"")</f>
        <v/>
      </c>
      <c r="S201" s="32" t="n">
        <f aca="false">IFERROR(SUMPRODUCT((P202:P204="Y")*L202:L204*S202:S204)/SUMIFS(L202:L204,P202:P204,"Y"),0)</f>
        <v>0</v>
      </c>
      <c r="T201" s="27" t="str">
        <f aca="false">IF(ISNUMBER(R201),"Completed",IF(ISNUMBER(Q201),"In Progress","Not Started"))</f>
        <v>Not Started</v>
      </c>
      <c r="U201" s="29"/>
    </row>
    <row r="202" customFormat="false" ht="15" hidden="false" customHeight="false" outlineLevel="2" collapsed="false">
      <c r="A202" s="33" t="s">
        <v>789</v>
      </c>
      <c r="B202" s="33" t="s">
        <v>790</v>
      </c>
      <c r="C202" s="34" t="s">
        <v>111</v>
      </c>
      <c r="D202" s="33" t="s">
        <v>767</v>
      </c>
      <c r="E202" s="33" t="s">
        <v>786</v>
      </c>
      <c r="F202" s="33" t="s">
        <v>791</v>
      </c>
      <c r="G202" s="33" t="s">
        <v>113</v>
      </c>
      <c r="H202" s="34" t="s">
        <v>769</v>
      </c>
      <c r="I202" s="33" t="s">
        <v>770</v>
      </c>
      <c r="J202" s="35" t="n">
        <v>4</v>
      </c>
      <c r="K202" s="33" t="s">
        <v>151</v>
      </c>
      <c r="L202" s="36" t="n">
        <v>8</v>
      </c>
      <c r="M202" s="37" t="s">
        <v>792</v>
      </c>
      <c r="N202" s="38" t="n">
        <f aca="false">MAX(IF($L202=0,O12,WORKDAY.INTL(O12,1,11)),IF($L202=0,O114,WORKDAY.INTL(O114,1,11)))</f>
        <v>46904</v>
      </c>
      <c r="O202" s="38" t="n">
        <f aca="false">IF(L202=0,N202,WORKDAY.INTL(N202,L202-1,11))</f>
        <v>46912</v>
      </c>
      <c r="P202" s="34" t="s">
        <v>116</v>
      </c>
      <c r="Q202" s="39"/>
      <c r="R202" s="39"/>
      <c r="S202" s="40"/>
      <c r="T202" s="33" t="str">
        <f aca="false">IF(ISNUMBER(R202),"Completed",IF(ISNUMBER(Q202),"In Progress","Not Started"))</f>
        <v>Not Started</v>
      </c>
      <c r="U202" s="41"/>
    </row>
    <row r="203" customFormat="false" ht="15" hidden="false" customHeight="false" outlineLevel="2" collapsed="false">
      <c r="A203" s="33" t="s">
        <v>793</v>
      </c>
      <c r="B203" s="33" t="s">
        <v>794</v>
      </c>
      <c r="C203" s="34" t="s">
        <v>111</v>
      </c>
      <c r="D203" s="33" t="s">
        <v>767</v>
      </c>
      <c r="E203" s="33" t="s">
        <v>786</v>
      </c>
      <c r="F203" s="33" t="s">
        <v>795</v>
      </c>
      <c r="G203" s="33" t="s">
        <v>113</v>
      </c>
      <c r="H203" s="34" t="s">
        <v>769</v>
      </c>
      <c r="I203" s="33" t="s">
        <v>770</v>
      </c>
      <c r="J203" s="35" t="n">
        <v>1</v>
      </c>
      <c r="K203" s="33" t="s">
        <v>151</v>
      </c>
      <c r="L203" s="36" t="n">
        <v>5</v>
      </c>
      <c r="M203" s="37" t="s">
        <v>796</v>
      </c>
      <c r="N203" s="38" t="n">
        <f aca="false">MAX(IF($L203=0,O162,WORKDAY.INTL(O162,1,11)),IF($L203=0,O202,WORKDAY.INTL(O202,1,11)))</f>
        <v>46913</v>
      </c>
      <c r="O203" s="38" t="n">
        <f aca="false">IF(L203=0,N203,WORKDAY.INTL(N203,L203-1,11))</f>
        <v>46918</v>
      </c>
      <c r="P203" s="34" t="s">
        <v>116</v>
      </c>
      <c r="Q203" s="39"/>
      <c r="R203" s="39"/>
      <c r="S203" s="40"/>
      <c r="T203" s="33" t="str">
        <f aca="false">IF(ISNUMBER(R203),"Completed",IF(ISNUMBER(Q203),"In Progress","Not Started"))</f>
        <v>Not Started</v>
      </c>
      <c r="U203" s="41"/>
    </row>
    <row r="204" customFormat="false" ht="15" hidden="false" customHeight="false" outlineLevel="2" collapsed="false">
      <c r="A204" s="33" t="s">
        <v>797</v>
      </c>
      <c r="B204" s="33" t="s">
        <v>798</v>
      </c>
      <c r="C204" s="34" t="s">
        <v>111</v>
      </c>
      <c r="D204" s="33" t="s">
        <v>767</v>
      </c>
      <c r="E204" s="33" t="s">
        <v>786</v>
      </c>
      <c r="F204" s="33" t="s">
        <v>799</v>
      </c>
      <c r="G204" s="33" t="s">
        <v>113</v>
      </c>
      <c r="H204" s="34" t="s">
        <v>769</v>
      </c>
      <c r="I204" s="33" t="s">
        <v>770</v>
      </c>
      <c r="J204" s="35" t="n">
        <v>1</v>
      </c>
      <c r="K204" s="33" t="s">
        <v>114</v>
      </c>
      <c r="L204" s="36" t="n">
        <v>10</v>
      </c>
      <c r="M204" s="37" t="s">
        <v>800</v>
      </c>
      <c r="N204" s="38" t="n">
        <f aca="false">MAX(IF($L204=0,O114,WORKDAY.INTL(O114,1,11)),IF($L204=0,O136,WORKDAY.INTL(O136,1,11)))</f>
        <v>46805</v>
      </c>
      <c r="O204" s="38" t="n">
        <f aca="false">IF(L204=0,N204,WORKDAY.INTL(N204,L204-1,11))</f>
        <v>46815</v>
      </c>
      <c r="P204" s="34" t="s">
        <v>116</v>
      </c>
      <c r="Q204" s="39"/>
      <c r="R204" s="39"/>
      <c r="S204" s="40"/>
      <c r="T204" s="33" t="str">
        <f aca="false">IF(ISNUMBER(R204),"Completed",IF(ISNUMBER(Q204),"In Progress","Not Started"))</f>
        <v>Not Started</v>
      </c>
      <c r="U204" s="41"/>
    </row>
    <row r="205" customFormat="false" ht="15" hidden="false" customHeight="false" outlineLevel="0" collapsed="false">
      <c r="A205" s="21" t="s">
        <v>801</v>
      </c>
      <c r="B205" s="21" t="s">
        <v>802</v>
      </c>
      <c r="C205" s="22" t="s">
        <v>99</v>
      </c>
      <c r="D205" s="21" t="s">
        <v>803</v>
      </c>
      <c r="E205" s="21" t="s">
        <v>803</v>
      </c>
      <c r="F205" s="21" t="s">
        <v>804</v>
      </c>
      <c r="G205" s="21" t="s">
        <v>102</v>
      </c>
      <c r="H205" s="22" t="s">
        <v>146</v>
      </c>
      <c r="I205" s="21" t="s">
        <v>147</v>
      </c>
      <c r="J205" s="23"/>
      <c r="K205" s="23"/>
      <c r="L205" s="24" t="n">
        <f aca="false">NETWORKDAYS.INTL(N205,O205,11)</f>
        <v>119</v>
      </c>
      <c r="M205" s="23"/>
      <c r="N205" s="25" t="n">
        <f aca="false">MIN(N206:N220)</f>
        <v>46816</v>
      </c>
      <c r="O205" s="25" t="n">
        <f aca="false">MAX(O206:O220)</f>
        <v>46954</v>
      </c>
      <c r="P205" s="22" t="s">
        <v>96</v>
      </c>
      <c r="Q205" s="25" t="str">
        <f aca="false">IF(COUNT(Q206:Q220)=0,"",MIN(Q206:Q220))</f>
        <v/>
      </c>
      <c r="R205" s="25" t="str">
        <f aca="false">IF(COUNTIFS(P206:P220,"Y")=COUNTIFS(P206:P220,"Y",R206:R220,"&gt;0"),MAX(R206:R220),"")</f>
        <v/>
      </c>
      <c r="S205" s="26" t="n">
        <f aca="false">IFERROR(SUMPRODUCT((P206:P220="Y")*L206:L220*S206:S220)/SUMIFS(L206:L220,P206:P220,"Y"),0)</f>
        <v>0</v>
      </c>
      <c r="T205" s="21" t="str">
        <f aca="false">IF(ISNUMBER(R205),"Completed",IF(ISNUMBER(Q205),"In Progress","Not Started"))</f>
        <v>Not Started</v>
      </c>
      <c r="U205" s="23"/>
    </row>
    <row r="206" customFormat="false" ht="15" hidden="false" customHeight="false" outlineLevel="1" collapsed="false">
      <c r="A206" s="27" t="s">
        <v>805</v>
      </c>
      <c r="B206" s="27" t="s">
        <v>806</v>
      </c>
      <c r="C206" s="28" t="s">
        <v>107</v>
      </c>
      <c r="D206" s="27" t="s">
        <v>803</v>
      </c>
      <c r="E206" s="27" t="s">
        <v>801</v>
      </c>
      <c r="F206" s="27" t="s">
        <v>807</v>
      </c>
      <c r="G206" s="27" t="s">
        <v>102</v>
      </c>
      <c r="H206" s="28" t="s">
        <v>146</v>
      </c>
      <c r="I206" s="27" t="s">
        <v>147</v>
      </c>
      <c r="J206" s="29"/>
      <c r="K206" s="29"/>
      <c r="L206" s="30" t="n">
        <f aca="false">NETWORKDAYS.INTL(N206,O206,11)</f>
        <v>55</v>
      </c>
      <c r="M206" s="29"/>
      <c r="N206" s="31" t="n">
        <f aca="false">MIN(N207:N208)</f>
        <v>46816</v>
      </c>
      <c r="O206" s="31" t="n">
        <f aca="false">MAX(O207:O208)</f>
        <v>46879</v>
      </c>
      <c r="P206" s="28" t="s">
        <v>96</v>
      </c>
      <c r="Q206" s="31" t="str">
        <f aca="false">IF(COUNT(Q207:Q208)=0,"",MIN(Q207:Q208))</f>
        <v/>
      </c>
      <c r="R206" s="31" t="str">
        <f aca="false">IF(COUNTIFS(P207:P208,"Y")=COUNTIFS(P207:P208,"Y",R207:R208,"&gt;0"),MAX(R207:R208),"")</f>
        <v/>
      </c>
      <c r="S206" s="32" t="n">
        <f aca="false">IFERROR(SUMPRODUCT((P207:P208="Y")*L207:L208*S207:S208)/SUMIFS(L207:L208,P207:P208,"Y"),0)</f>
        <v>0</v>
      </c>
      <c r="T206" s="27" t="str">
        <f aca="false">IF(ISNUMBER(R206),"Completed",IF(ISNUMBER(Q206),"In Progress","Not Started"))</f>
        <v>Not Started</v>
      </c>
      <c r="U206" s="29"/>
    </row>
    <row r="207" customFormat="false" ht="46.25" hidden="false" customHeight="false" outlineLevel="2" collapsed="false">
      <c r="A207" s="33" t="s">
        <v>808</v>
      </c>
      <c r="B207" s="33" t="s">
        <v>809</v>
      </c>
      <c r="C207" s="34" t="s">
        <v>111</v>
      </c>
      <c r="D207" s="33" t="s">
        <v>803</v>
      </c>
      <c r="E207" s="33" t="s">
        <v>805</v>
      </c>
      <c r="F207" s="33" t="s">
        <v>810</v>
      </c>
      <c r="G207" s="33" t="s">
        <v>113</v>
      </c>
      <c r="H207" s="34" t="s">
        <v>146</v>
      </c>
      <c r="I207" s="33" t="s">
        <v>147</v>
      </c>
      <c r="J207" s="35" t="n">
        <v>1</v>
      </c>
      <c r="K207" s="33" t="s">
        <v>114</v>
      </c>
      <c r="L207" s="36" t="n">
        <v>6</v>
      </c>
      <c r="M207" s="37" t="s">
        <v>811</v>
      </c>
      <c r="N207" s="38" t="n">
        <f aca="false">MAX(IF($L207=0,O114,WORKDAY.INTL(O114,1,11)),IF($L207=0,O47,WORKDAY.INTL(O47,1,11)),IF($L207=0,O103,WORKDAY.INTL(O103,1,11)),IF($L207=0,O90,WORKDAY.INTL(O90,1,11)),IF($L207=0,O97,WORKDAY.INTL(O97,1,11)),IF($L207=0,O35,WORKDAY.INTL(O35,1,11)),IF($L207=0,O36,WORKDAY.INTL(O36,1,11)),IF($L207=0,O42,WORKDAY.INTL(O42,1,11)))</f>
        <v>46874</v>
      </c>
      <c r="O207" s="38" t="n">
        <f aca="false">IF(L207=0,N207,WORKDAY.INTL(N207,L207-1,11))</f>
        <v>46879</v>
      </c>
      <c r="P207" s="34" t="s">
        <v>116</v>
      </c>
      <c r="Q207" s="39"/>
      <c r="R207" s="39"/>
      <c r="S207" s="40"/>
      <c r="T207" s="33" t="str">
        <f aca="false">IF(ISNUMBER(R207),"Completed",IF(ISNUMBER(Q207),"In Progress","Not Started"))</f>
        <v>Not Started</v>
      </c>
      <c r="U207" s="41"/>
    </row>
    <row r="208" customFormat="false" ht="15" hidden="false" customHeight="false" outlineLevel="2" collapsed="false">
      <c r="A208" s="33" t="s">
        <v>812</v>
      </c>
      <c r="B208" s="33" t="s">
        <v>813</v>
      </c>
      <c r="C208" s="34" t="s">
        <v>111</v>
      </c>
      <c r="D208" s="33" t="s">
        <v>803</v>
      </c>
      <c r="E208" s="33" t="s">
        <v>805</v>
      </c>
      <c r="F208" s="33" t="s">
        <v>814</v>
      </c>
      <c r="G208" s="33" t="s">
        <v>113</v>
      </c>
      <c r="H208" s="34" t="s">
        <v>146</v>
      </c>
      <c r="I208" s="33" t="s">
        <v>147</v>
      </c>
      <c r="J208" s="35" t="n">
        <v>1</v>
      </c>
      <c r="K208" s="33" t="s">
        <v>114</v>
      </c>
      <c r="L208" s="36" t="n">
        <v>4</v>
      </c>
      <c r="M208" s="37" t="s">
        <v>815</v>
      </c>
      <c r="N208" s="38" t="n">
        <f aca="false">MAX(IF($L208=0,O139,WORKDAY.INTL(O139,1,11)),IF($L208=0,O143,WORKDAY.INTL(O143,1,11)))</f>
        <v>46816</v>
      </c>
      <c r="O208" s="38" t="n">
        <f aca="false">IF(L208=0,N208,WORKDAY.INTL(N208,L208-1,11))</f>
        <v>46820</v>
      </c>
      <c r="P208" s="34" t="s">
        <v>116</v>
      </c>
      <c r="Q208" s="39"/>
      <c r="R208" s="39"/>
      <c r="S208" s="40"/>
      <c r="T208" s="33" t="str">
        <f aca="false">IF(ISNUMBER(R208),"Completed",IF(ISNUMBER(Q208),"In Progress","Not Started"))</f>
        <v>Not Started</v>
      </c>
      <c r="U208" s="41"/>
    </row>
    <row r="209" customFormat="false" ht="15" hidden="false" customHeight="false" outlineLevel="1" collapsed="false">
      <c r="A209" s="27" t="s">
        <v>816</v>
      </c>
      <c r="B209" s="27" t="s">
        <v>817</v>
      </c>
      <c r="C209" s="28" t="s">
        <v>107</v>
      </c>
      <c r="D209" s="27" t="s">
        <v>803</v>
      </c>
      <c r="E209" s="27" t="s">
        <v>801</v>
      </c>
      <c r="F209" s="27" t="s">
        <v>818</v>
      </c>
      <c r="G209" s="27" t="s">
        <v>102</v>
      </c>
      <c r="H209" s="28" t="s">
        <v>146</v>
      </c>
      <c r="I209" s="27" t="s">
        <v>147</v>
      </c>
      <c r="J209" s="29"/>
      <c r="K209" s="29"/>
      <c r="L209" s="30" t="n">
        <f aca="false">NETWORKDAYS.INTL(N209,O209,11)</f>
        <v>45</v>
      </c>
      <c r="M209" s="29"/>
      <c r="N209" s="31" t="n">
        <f aca="false">MIN(N210:N212)</f>
        <v>46878</v>
      </c>
      <c r="O209" s="31" t="n">
        <f aca="false">MAX(O210:O212)</f>
        <v>46930</v>
      </c>
      <c r="P209" s="28" t="s">
        <v>96</v>
      </c>
      <c r="Q209" s="31" t="str">
        <f aca="false">IF(COUNT(Q210:Q212)=0,"",MIN(Q210:Q212))</f>
        <v/>
      </c>
      <c r="R209" s="31" t="str">
        <f aca="false">IF(COUNTIFS(P210:P212,"Y")=COUNTIFS(P210:P212,"Y",R210:R212,"&gt;0"),MAX(R210:R212),"")</f>
        <v/>
      </c>
      <c r="S209" s="32" t="n">
        <f aca="false">IFERROR(SUMPRODUCT((P210:P212="Y")*L210:L212*S210:S212)/SUMIFS(L210:L212,P210:P212,"Y"),0)</f>
        <v>0</v>
      </c>
      <c r="T209" s="27" t="str">
        <f aca="false">IF(ISNUMBER(R209),"Completed",IF(ISNUMBER(Q209),"In Progress","Not Started"))</f>
        <v>Not Started</v>
      </c>
      <c r="U209" s="29"/>
    </row>
    <row r="210" customFormat="false" ht="15" hidden="false" customHeight="false" outlineLevel="2" collapsed="false">
      <c r="A210" s="33" t="s">
        <v>819</v>
      </c>
      <c r="B210" s="33" t="s">
        <v>820</v>
      </c>
      <c r="C210" s="34" t="s">
        <v>111</v>
      </c>
      <c r="D210" s="33" t="s">
        <v>803</v>
      </c>
      <c r="E210" s="33" t="s">
        <v>816</v>
      </c>
      <c r="F210" s="33" t="s">
        <v>821</v>
      </c>
      <c r="G210" s="33" t="s">
        <v>113</v>
      </c>
      <c r="H210" s="34" t="s">
        <v>146</v>
      </c>
      <c r="I210" s="33" t="s">
        <v>147</v>
      </c>
      <c r="J210" s="35" t="n">
        <v>1</v>
      </c>
      <c r="K210" s="33" t="s">
        <v>114</v>
      </c>
      <c r="L210" s="36" t="n">
        <v>5</v>
      </c>
      <c r="M210" s="37" t="s">
        <v>822</v>
      </c>
      <c r="N210" s="38" t="n">
        <f aca="false">MAX(IF($L210=0,O173,WORKDAY.INTL(O173,1,11)),IF($L210=0,O177,WORKDAY.INTL(O177,1,11)))</f>
        <v>46878</v>
      </c>
      <c r="O210" s="38" t="n">
        <f aca="false">IF(L210=0,N210,WORKDAY.INTL(N210,L210-1,11))</f>
        <v>46883</v>
      </c>
      <c r="P210" s="34" t="s">
        <v>116</v>
      </c>
      <c r="Q210" s="39"/>
      <c r="R210" s="39"/>
      <c r="S210" s="40"/>
      <c r="T210" s="33" t="str">
        <f aca="false">IF(ISNUMBER(R210),"Completed",IF(ISNUMBER(Q210),"In Progress","Not Started"))</f>
        <v>Not Started</v>
      </c>
      <c r="U210" s="41"/>
    </row>
    <row r="211" customFormat="false" ht="15" hidden="false" customHeight="false" outlineLevel="2" collapsed="false">
      <c r="A211" s="33" t="s">
        <v>823</v>
      </c>
      <c r="B211" s="33" t="s">
        <v>824</v>
      </c>
      <c r="C211" s="34" t="s">
        <v>111</v>
      </c>
      <c r="D211" s="33" t="s">
        <v>803</v>
      </c>
      <c r="E211" s="33" t="s">
        <v>816</v>
      </c>
      <c r="F211" s="33" t="s">
        <v>825</v>
      </c>
      <c r="G211" s="33" t="s">
        <v>113</v>
      </c>
      <c r="H211" s="34" t="s">
        <v>146</v>
      </c>
      <c r="I211" s="33" t="s">
        <v>147</v>
      </c>
      <c r="J211" s="35" t="n">
        <v>1</v>
      </c>
      <c r="K211" s="33" t="s">
        <v>114</v>
      </c>
      <c r="L211" s="36" t="n">
        <v>3</v>
      </c>
      <c r="M211" s="37" t="s">
        <v>826</v>
      </c>
      <c r="N211" s="38" t="n">
        <f aca="false">IF($L211=0,O210,WORKDAY.INTL(O210,1,11))</f>
        <v>46884</v>
      </c>
      <c r="O211" s="38" t="n">
        <f aca="false">IF(L211=0,N211,WORKDAY.INTL(N211,L211-1,11))</f>
        <v>46886</v>
      </c>
      <c r="P211" s="34" t="s">
        <v>116</v>
      </c>
      <c r="Q211" s="39"/>
      <c r="R211" s="39"/>
      <c r="S211" s="40"/>
      <c r="T211" s="33" t="str">
        <f aca="false">IF(ISNUMBER(R211),"Completed",IF(ISNUMBER(Q211),"In Progress","Not Started"))</f>
        <v>Not Started</v>
      </c>
      <c r="U211" s="41"/>
    </row>
    <row r="212" customFormat="false" ht="57.45" hidden="false" customHeight="false" outlineLevel="2" collapsed="false">
      <c r="A212" s="33" t="s">
        <v>827</v>
      </c>
      <c r="B212" s="33" t="s">
        <v>828</v>
      </c>
      <c r="C212" s="34" t="s">
        <v>111</v>
      </c>
      <c r="D212" s="33" t="s">
        <v>803</v>
      </c>
      <c r="E212" s="33" t="s">
        <v>816</v>
      </c>
      <c r="F212" s="33" t="s">
        <v>829</v>
      </c>
      <c r="G212" s="33" t="s">
        <v>113</v>
      </c>
      <c r="H212" s="34" t="s">
        <v>146</v>
      </c>
      <c r="I212" s="33" t="s">
        <v>147</v>
      </c>
      <c r="J212" s="35" t="n">
        <v>14</v>
      </c>
      <c r="K212" s="33" t="s">
        <v>151</v>
      </c>
      <c r="L212" s="36" t="n">
        <v>6</v>
      </c>
      <c r="M212" s="37" t="s">
        <v>830</v>
      </c>
      <c r="N212" s="38" t="n">
        <f aca="false">MAX(IF($L212=0,O195,WORKDAY.INTL(O195,1,11)),IF($L212=0,O147,WORKDAY.INTL(O147,1,11)),IF($L212=0,O150,WORKDAY.INTL(O150,1,11)),IF($L212=0,O153,WORKDAY.INTL(O153,1,11)),IF($L212=0,O155,WORKDAY.INTL(O155,1,11)),IF($L212=0,O158,WORKDAY.INTL(O158,1,11)),IF($L212=0,O159,WORKDAY.INTL(O159,1,11)),IF($L212=0,O160,WORKDAY.INTL(O160,1,11)),IF($L212=0,O163,WORKDAY.INTL(O163,1,11)),IF($L212=0,O164,WORKDAY.INTL(O164,1,11)))</f>
        <v>46924</v>
      </c>
      <c r="O212" s="38" t="n">
        <f aca="false">IF(L212=0,N212,WORKDAY.INTL(N212,L212-1,11))</f>
        <v>46930</v>
      </c>
      <c r="P212" s="34" t="s">
        <v>116</v>
      </c>
      <c r="Q212" s="39"/>
      <c r="R212" s="39"/>
      <c r="S212" s="40"/>
      <c r="T212" s="33" t="str">
        <f aca="false">IF(ISNUMBER(R212),"Completed",IF(ISNUMBER(Q212),"In Progress","Not Started"))</f>
        <v>Not Started</v>
      </c>
      <c r="U212" s="41"/>
    </row>
    <row r="213" customFormat="false" ht="15" hidden="false" customHeight="false" outlineLevel="1" collapsed="false">
      <c r="A213" s="27" t="s">
        <v>831</v>
      </c>
      <c r="B213" s="27" t="s">
        <v>832</v>
      </c>
      <c r="C213" s="28" t="s">
        <v>107</v>
      </c>
      <c r="D213" s="27" t="s">
        <v>803</v>
      </c>
      <c r="E213" s="27" t="s">
        <v>801</v>
      </c>
      <c r="F213" s="27" t="s">
        <v>833</v>
      </c>
      <c r="G213" s="27" t="s">
        <v>102</v>
      </c>
      <c r="H213" s="28" t="s">
        <v>146</v>
      </c>
      <c r="I213" s="27" t="s">
        <v>147</v>
      </c>
      <c r="J213" s="29"/>
      <c r="K213" s="29"/>
      <c r="L213" s="30" t="n">
        <f aca="false">NETWORKDAYS.INTL(N213,O213,11)</f>
        <v>18</v>
      </c>
      <c r="M213" s="29"/>
      <c r="N213" s="31" t="n">
        <f aca="false">MIN(N214:N216)</f>
        <v>46918</v>
      </c>
      <c r="O213" s="31" t="n">
        <f aca="false">MAX(O214:O216)</f>
        <v>46938</v>
      </c>
      <c r="P213" s="28" t="s">
        <v>96</v>
      </c>
      <c r="Q213" s="31" t="str">
        <f aca="false">IF(COUNT(Q214:Q216)=0,"",MIN(Q214:Q216))</f>
        <v/>
      </c>
      <c r="R213" s="31" t="str">
        <f aca="false">IF(COUNTIFS(P214:P216,"Y")=COUNTIFS(P214:P216,"Y",R214:R216,"&gt;0"),MAX(R214:R216),"")</f>
        <v/>
      </c>
      <c r="S213" s="32" t="n">
        <f aca="false">IFERROR(SUMPRODUCT((P214:P216="Y")*L214:L216*S214:S216)/SUMIFS(L214:L216,P214:P216,"Y"),0)</f>
        <v>0</v>
      </c>
      <c r="T213" s="27" t="str">
        <f aca="false">IF(ISNUMBER(R213),"Completed",IF(ISNUMBER(Q213),"In Progress","Not Started"))</f>
        <v>Not Started</v>
      </c>
      <c r="U213" s="29"/>
    </row>
    <row r="214" customFormat="false" ht="15" hidden="false" customHeight="false" outlineLevel="2" collapsed="false">
      <c r="A214" s="33" t="s">
        <v>834</v>
      </c>
      <c r="B214" s="33" t="s">
        <v>835</v>
      </c>
      <c r="C214" s="34" t="s">
        <v>111</v>
      </c>
      <c r="D214" s="33" t="s">
        <v>803</v>
      </c>
      <c r="E214" s="33" t="s">
        <v>831</v>
      </c>
      <c r="F214" s="33" t="s">
        <v>836</v>
      </c>
      <c r="G214" s="33" t="s">
        <v>113</v>
      </c>
      <c r="H214" s="34" t="s">
        <v>146</v>
      </c>
      <c r="I214" s="33" t="s">
        <v>147</v>
      </c>
      <c r="J214" s="35" t="n">
        <v>420</v>
      </c>
      <c r="K214" s="33" t="s">
        <v>151</v>
      </c>
      <c r="L214" s="36" t="n">
        <v>5</v>
      </c>
      <c r="M214" s="37" t="s">
        <v>764</v>
      </c>
      <c r="N214" s="38" t="n">
        <f aca="false">IF($L214=0,O191,WORKDAY.INTL(O191,1,11))</f>
        <v>46918</v>
      </c>
      <c r="O214" s="38" t="n">
        <f aca="false">IF(L214=0,N214,WORKDAY.INTL(N214,L214-1,11))</f>
        <v>46923</v>
      </c>
      <c r="P214" s="34" t="s">
        <v>116</v>
      </c>
      <c r="Q214" s="39"/>
      <c r="R214" s="39"/>
      <c r="S214" s="40"/>
      <c r="T214" s="33" t="str">
        <f aca="false">IF(ISNUMBER(R214),"Completed",IF(ISNUMBER(Q214),"In Progress","Not Started"))</f>
        <v>Not Started</v>
      </c>
      <c r="U214" s="41"/>
    </row>
    <row r="215" customFormat="false" ht="23.85" hidden="false" customHeight="false" outlineLevel="2" collapsed="false">
      <c r="A215" s="33" t="s">
        <v>837</v>
      </c>
      <c r="B215" s="33" t="s">
        <v>838</v>
      </c>
      <c r="C215" s="34" t="s">
        <v>111</v>
      </c>
      <c r="D215" s="33" t="s">
        <v>803</v>
      </c>
      <c r="E215" s="33" t="s">
        <v>831</v>
      </c>
      <c r="F215" s="33" t="s">
        <v>839</v>
      </c>
      <c r="G215" s="33" t="s">
        <v>113</v>
      </c>
      <c r="H215" s="34" t="s">
        <v>146</v>
      </c>
      <c r="I215" s="33" t="s">
        <v>147</v>
      </c>
      <c r="J215" s="35" t="n">
        <v>1</v>
      </c>
      <c r="K215" s="33" t="s">
        <v>114</v>
      </c>
      <c r="L215" s="36" t="n">
        <v>4</v>
      </c>
      <c r="M215" s="37" t="s">
        <v>840</v>
      </c>
      <c r="N215" s="38" t="n">
        <f aca="false">MAX(IF($L215=0,O214,WORKDAY.INTL(O214,1,11)),IF($L215=0,O184,WORKDAY.INTL(O184,1,11)),IF($L215=0,O186,WORKDAY.INTL(O186,1,11)))</f>
        <v>46924</v>
      </c>
      <c r="O215" s="38" t="n">
        <f aca="false">IF(L215=0,N215,WORKDAY.INTL(N215,L215-1,11))</f>
        <v>46927</v>
      </c>
      <c r="P215" s="34" t="s">
        <v>116</v>
      </c>
      <c r="Q215" s="39"/>
      <c r="R215" s="39"/>
      <c r="S215" s="40"/>
      <c r="T215" s="33" t="str">
        <f aca="false">IF(ISNUMBER(R215),"Completed",IF(ISNUMBER(Q215),"In Progress","Not Started"))</f>
        <v>Not Started</v>
      </c>
      <c r="U215" s="41"/>
    </row>
    <row r="216" customFormat="false" ht="23.85" hidden="false" customHeight="false" outlineLevel="2" collapsed="false">
      <c r="A216" s="33" t="s">
        <v>841</v>
      </c>
      <c r="B216" s="33" t="s">
        <v>842</v>
      </c>
      <c r="C216" s="34" t="s">
        <v>111</v>
      </c>
      <c r="D216" s="33" t="s">
        <v>803</v>
      </c>
      <c r="E216" s="33" t="s">
        <v>831</v>
      </c>
      <c r="F216" s="33" t="s">
        <v>843</v>
      </c>
      <c r="G216" s="33" t="s">
        <v>113</v>
      </c>
      <c r="H216" s="34" t="s">
        <v>146</v>
      </c>
      <c r="I216" s="33" t="s">
        <v>147</v>
      </c>
      <c r="J216" s="35" t="n">
        <v>110</v>
      </c>
      <c r="K216" s="33" t="s">
        <v>844</v>
      </c>
      <c r="L216" s="36" t="n">
        <v>8</v>
      </c>
      <c r="M216" s="37" t="s">
        <v>845</v>
      </c>
      <c r="N216" s="38" t="n">
        <f aca="false">MAX(IF($L216=0,O200,WORKDAY.INTL(O200,1,11)),IF($L216=0,O202,WORKDAY.INTL(O202,1,11)),IF($L216=0,O203,WORKDAY.INTL(O203,1,11)))</f>
        <v>46930</v>
      </c>
      <c r="O216" s="38" t="n">
        <f aca="false">IF(L216=0,N216,WORKDAY.INTL(N216,L216-1,11))</f>
        <v>46938</v>
      </c>
      <c r="P216" s="34" t="s">
        <v>116</v>
      </c>
      <c r="Q216" s="39"/>
      <c r="R216" s="39"/>
      <c r="S216" s="40"/>
      <c r="T216" s="33" t="str">
        <f aca="false">IF(ISNUMBER(R216),"Completed",IF(ISNUMBER(Q216),"In Progress","Not Started"))</f>
        <v>Not Started</v>
      </c>
      <c r="U216" s="41"/>
    </row>
    <row r="217" customFormat="false" ht="15" hidden="false" customHeight="false" outlineLevel="1" collapsed="false">
      <c r="A217" s="27" t="s">
        <v>846</v>
      </c>
      <c r="B217" s="27" t="s">
        <v>847</v>
      </c>
      <c r="C217" s="28" t="s">
        <v>107</v>
      </c>
      <c r="D217" s="27" t="s">
        <v>803</v>
      </c>
      <c r="E217" s="27" t="s">
        <v>801</v>
      </c>
      <c r="F217" s="27" t="s">
        <v>848</v>
      </c>
      <c r="G217" s="27" t="s">
        <v>102</v>
      </c>
      <c r="H217" s="28" t="s">
        <v>146</v>
      </c>
      <c r="I217" s="27" t="s">
        <v>147</v>
      </c>
      <c r="J217" s="29"/>
      <c r="K217" s="29"/>
      <c r="L217" s="30" t="n">
        <f aca="false">NETWORKDAYS.INTL(N217,O217,11)</f>
        <v>14</v>
      </c>
      <c r="M217" s="29"/>
      <c r="N217" s="31" t="n">
        <f aca="false">MIN(N218:N220)</f>
        <v>46939</v>
      </c>
      <c r="O217" s="31" t="n">
        <f aca="false">MAX(O218:O220)</f>
        <v>46954</v>
      </c>
      <c r="P217" s="28" t="s">
        <v>96</v>
      </c>
      <c r="Q217" s="31" t="str">
        <f aca="false">IF(COUNT(Q218:Q220)=0,"",MIN(Q218:Q220))</f>
        <v/>
      </c>
      <c r="R217" s="31" t="str">
        <f aca="false">IF(COUNTIFS(P218:P220,"Y")=COUNTIFS(P218:P220,"Y",R218:R220,"&gt;0"),MAX(R218:R220),"")</f>
        <v/>
      </c>
      <c r="S217" s="32" t="n">
        <f aca="false">IFERROR(SUMPRODUCT((P218:P220="Y")*L218:L220*S218:S220)/SUMIFS(L218:L220,P218:P220,"Y"),0)</f>
        <v>0</v>
      </c>
      <c r="T217" s="27" t="str">
        <f aca="false">IF(ISNUMBER(R217),"Completed",IF(ISNUMBER(Q217),"In Progress","Not Started"))</f>
        <v>Not Started</v>
      </c>
      <c r="U217" s="29"/>
    </row>
    <row r="218" customFormat="false" ht="57.45" hidden="false" customHeight="false" outlineLevel="2" collapsed="false">
      <c r="A218" s="33" t="s">
        <v>849</v>
      </c>
      <c r="B218" s="33" t="s">
        <v>850</v>
      </c>
      <c r="C218" s="34" t="s">
        <v>111</v>
      </c>
      <c r="D218" s="33" t="s">
        <v>803</v>
      </c>
      <c r="E218" s="33" t="s">
        <v>846</v>
      </c>
      <c r="F218" s="33" t="s">
        <v>851</v>
      </c>
      <c r="G218" s="33" t="s">
        <v>113</v>
      </c>
      <c r="H218" s="34" t="s">
        <v>146</v>
      </c>
      <c r="I218" s="33" t="s">
        <v>147</v>
      </c>
      <c r="J218" s="35" t="n">
        <v>1</v>
      </c>
      <c r="K218" s="33" t="s">
        <v>114</v>
      </c>
      <c r="L218" s="36" t="n">
        <v>12</v>
      </c>
      <c r="M218" s="37" t="s">
        <v>852</v>
      </c>
      <c r="N218" s="38" t="n">
        <f aca="false">MAX(IF($L218=0,O212,WORKDAY.INTL(O212,1,11)),IF($L218=0,O215,WORKDAY.INTL(O215,1,11)),IF($L218=0,O216,WORKDAY.INTL(O216,1,11)),IF($L218=0,O211,WORKDAY.INTL(O211,1,11)),IF($L218=0,O207,WORKDAY.INTL(O207,1,11)),IF($L218=0,O208,WORKDAY.INTL(O208,1,11)),IF($L218=0,O193,WORKDAY.INTL(O193,1,11)),IF($L218=0,O194,WORKDAY.INTL(O194,1,11)),IF($L218=0,O204,WORKDAY.INTL(O204,1,11)),IF($L218=0,O162,WORKDAY.INTL(O162,1,11)))</f>
        <v>46939</v>
      </c>
      <c r="O218" s="38" t="n">
        <f aca="false">IF(L218=0,N218,WORKDAY.INTL(N218,L218-1,11))</f>
        <v>46952</v>
      </c>
      <c r="P218" s="34" t="s">
        <v>116</v>
      </c>
      <c r="Q218" s="39"/>
      <c r="R218" s="39"/>
      <c r="S218" s="40"/>
      <c r="T218" s="33" t="str">
        <f aca="false">IF(ISNUMBER(R218),"Completed",IF(ISNUMBER(Q218),"In Progress","Not Started"))</f>
        <v>Not Started</v>
      </c>
      <c r="U218" s="41"/>
    </row>
    <row r="219" customFormat="false" ht="15" hidden="false" customHeight="false" outlineLevel="2" collapsed="false">
      <c r="A219" s="33" t="s">
        <v>853</v>
      </c>
      <c r="B219" s="33" t="s">
        <v>854</v>
      </c>
      <c r="C219" s="34" t="s">
        <v>111</v>
      </c>
      <c r="D219" s="33" t="s">
        <v>803</v>
      </c>
      <c r="E219" s="33" t="s">
        <v>846</v>
      </c>
      <c r="F219" s="33" t="s">
        <v>855</v>
      </c>
      <c r="G219" s="33" t="s">
        <v>113</v>
      </c>
      <c r="H219" s="34" t="s">
        <v>146</v>
      </c>
      <c r="I219" s="33" t="s">
        <v>147</v>
      </c>
      <c r="J219" s="35" t="n">
        <v>1</v>
      </c>
      <c r="K219" s="33" t="s">
        <v>114</v>
      </c>
      <c r="L219" s="36" t="n">
        <v>10</v>
      </c>
      <c r="M219" s="37" t="s">
        <v>856</v>
      </c>
      <c r="N219" s="38" t="n">
        <f aca="false">WORKDAY.INTL(N218,4,11)</f>
        <v>46944</v>
      </c>
      <c r="O219" s="38" t="n">
        <f aca="false">IF(L219=0,N219,WORKDAY.INTL(N219,L219-1,11))</f>
        <v>46954</v>
      </c>
      <c r="P219" s="34" t="s">
        <v>116</v>
      </c>
      <c r="Q219" s="39"/>
      <c r="R219" s="39"/>
      <c r="S219" s="40"/>
      <c r="T219" s="33" t="str">
        <f aca="false">IF(ISNUMBER(R219),"Completed",IF(ISNUMBER(Q219),"In Progress","Not Started"))</f>
        <v>Not Started</v>
      </c>
      <c r="U219" s="41"/>
    </row>
    <row r="220" customFormat="false" ht="15" hidden="false" customHeight="false" outlineLevel="2" collapsed="false">
      <c r="A220" s="33" t="s">
        <v>857</v>
      </c>
      <c r="B220" s="33" t="s">
        <v>858</v>
      </c>
      <c r="C220" s="34" t="s">
        <v>111</v>
      </c>
      <c r="D220" s="33" t="s">
        <v>803</v>
      </c>
      <c r="E220" s="33" t="s">
        <v>846</v>
      </c>
      <c r="F220" s="42" t="s">
        <v>859</v>
      </c>
      <c r="G220" s="33" t="s">
        <v>653</v>
      </c>
      <c r="H220" s="34" t="s">
        <v>146</v>
      </c>
      <c r="I220" s="33" t="s">
        <v>147</v>
      </c>
      <c r="J220" s="35"/>
      <c r="K220" s="33"/>
      <c r="L220" s="36" t="n">
        <v>0</v>
      </c>
      <c r="M220" s="37" t="s">
        <v>860</v>
      </c>
      <c r="N220" s="38" t="n">
        <f aca="false">MAX(IF($L220=0,O218,WORKDAY.INTL(O218,1,11)),IF($L220=0,O219,WORKDAY.INTL(O219,1,11)))</f>
        <v>46954</v>
      </c>
      <c r="O220" s="38" t="n">
        <f aca="false">IF(L220=0,N220,WORKDAY.INTL(N220,L220-1,11))</f>
        <v>46954</v>
      </c>
      <c r="P220" s="34" t="s">
        <v>116</v>
      </c>
      <c r="Q220" s="39"/>
      <c r="R220" s="39"/>
      <c r="S220" s="40"/>
      <c r="T220" s="33" t="str">
        <f aca="false">IF(ISNUMBER(R220),"Completed",IF(ISNUMBER(Q220),"In Progress","Not Started"))</f>
        <v>Not Started</v>
      </c>
      <c r="U220" s="41"/>
    </row>
  </sheetData>
  <autoFilter ref="A5:U220"/>
  <dataValidations count="1">
    <dataValidation allowBlank="true" error="Enter 0 to 1 (e.g. 0.5 = 50%)" errorStyle="stop" operator="between" showDropDown="false" showErrorMessage="true" showInputMessage="false" sqref="S15:S20 S22:S25 S28:S30 S32:S36 S39:S42 S44:S47 S50:S54 S56:S61 S63:S66 S69:S73 S75:S78 S80:S83 S86:S91 S94:S97 S100:S103 S106:S109 S111:S114 S117:S120 S123:S126 S128:S131 S133:S137 S139 S142:S143 S146:S150 S152:S155 S158:S160 S162:S165 S168:S169 S171:S173 S176:S178 S180:S181 S184:S187 S189:S191 S193:S195 S198:S200 S202:S204 S207:S208 S210:S212 S214:S216 S218:S22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44"/>
    <col collapsed="false" customWidth="true" hidden="false" outlineLevel="0" max="4" min="4" style="0" width="60"/>
    <col collapsed="false" customWidth="true" hidden="false" outlineLevel="0" max="6" min="5" style="0" width="12"/>
    <col collapsed="false" customWidth="true" hidden="false" outlineLevel="0" max="7" min="7" style="0" width="11"/>
    <col collapsed="false" customWidth="true" hidden="false" outlineLevel="0" max="9" min="8" style="0" width="7"/>
    <col collapsed="false" customWidth="true" hidden="false" outlineLevel="0" max="10" min="10" style="0" width="10"/>
    <col collapsed="false" customWidth="true" hidden="false" outlineLevel="0" max="12" min="11" style="0" width="12"/>
    <col collapsed="false" customWidth="true" hidden="false" outlineLevel="0" max="13" min="13" style="0" width="11"/>
    <col collapsed="false" customWidth="true" hidden="false" outlineLevel="0" max="14" min="14" style="0" width="13"/>
  </cols>
  <sheetData>
    <row r="1" customFormat="false" ht="17.35" hidden="false" customHeight="false" outlineLevel="0" collapsed="false">
      <c r="A1" s="1" t="s">
        <v>861</v>
      </c>
    </row>
    <row r="2" customFormat="false" ht="15" hidden="false" customHeight="false" outlineLevel="0" collapsed="false">
      <c r="A2" s="7" t="s">
        <v>862</v>
      </c>
    </row>
    <row r="4" customFormat="false" ht="31.5" hidden="false" customHeight="true" outlineLevel="0" collapsed="false">
      <c r="A4" s="15" t="s">
        <v>863</v>
      </c>
      <c r="B4" s="15" t="s">
        <v>71</v>
      </c>
      <c r="C4" s="15" t="s">
        <v>864</v>
      </c>
      <c r="D4" s="15" t="s">
        <v>865</v>
      </c>
      <c r="E4" s="15" t="s">
        <v>83</v>
      </c>
      <c r="F4" s="15" t="s">
        <v>84</v>
      </c>
      <c r="G4" s="15" t="s">
        <v>866</v>
      </c>
      <c r="H4" s="15" t="s">
        <v>867</v>
      </c>
      <c r="I4" s="15" t="s">
        <v>868</v>
      </c>
      <c r="J4" s="15" t="s">
        <v>869</v>
      </c>
      <c r="K4" s="15" t="s">
        <v>86</v>
      </c>
      <c r="L4" s="15" t="s">
        <v>87</v>
      </c>
      <c r="M4" s="15" t="s">
        <v>88</v>
      </c>
      <c r="N4" s="15" t="s">
        <v>89</v>
      </c>
    </row>
    <row r="5" customFormat="false" ht="15" hidden="false" customHeight="false" outlineLevel="0" collapsed="false">
      <c r="A5" s="37" t="s">
        <v>100</v>
      </c>
      <c r="B5" s="37" t="s">
        <v>870</v>
      </c>
      <c r="C5" s="37" t="s">
        <v>871</v>
      </c>
      <c r="D5" s="37" t="s">
        <v>872</v>
      </c>
      <c r="E5" s="43" t="n">
        <f aca="false">_xlfn.MINIFS('L4-L6 Schedule'!$N$6:$N$220,'L4-L6 Schedule'!$D$6:$D$220,$A5)</f>
        <v>46664</v>
      </c>
      <c r="F5" s="43" t="n">
        <f aca="false">_xlfn.MAXIFS('L4-L6 Schedule'!$O$6:$O$220,'L4-L6 Schedule'!$D$6:$D$220,$A5)</f>
        <v>46679</v>
      </c>
      <c r="G5" s="44" t="n">
        <f aca="false">NETWORKDAYS.INTL(E5,F5,11)</f>
        <v>14</v>
      </c>
      <c r="H5" s="45" t="n">
        <f aca="false">COUNTIFS('L4-L6 Schedule'!$D$6:$D$220,$A5,'L4-L6 Schedule'!$C$6:$C$220,"L4")</f>
        <v>1</v>
      </c>
      <c r="I5" s="45" t="n">
        <f aca="false">COUNTIFS('L4-L6 Schedule'!$D$6:$D$220,$A5,'L4-L6 Schedule'!$C$6:$C$220,"L5")</f>
        <v>2</v>
      </c>
      <c r="J5" s="45" t="n">
        <f aca="false">COUNTIFS('L4-L6 Schedule'!$D$6:$D$220,$A5,'L4-L6 Schedule'!$C$6:$C$220,"L6")</f>
        <v>10</v>
      </c>
      <c r="K5" s="43" t="str">
        <f aca="false">IF(COUNTIFS('L4-L6 Schedule'!$D$6:$D$220,$A5,'L4-L6 Schedule'!$Q$6:$Q$220,"&gt;0")=0,"",_xlfn.MINIFS('L4-L6 Schedule'!$Q$6:$Q$220,'L4-L6 Schedule'!$D$6:$D$220,$A5))</f>
        <v/>
      </c>
      <c r="L5" s="43" t="str">
        <f aca="false">IF(COUNTIFS('L4-L6 Schedule'!$D$6:$D$220,$A5,'L4-L6 Schedule'!$P$6:$P$220,"Y")=COUNTIFS('L4-L6 Schedule'!$D$6:$D$220,$A5,'L4-L6 Schedule'!$P$6:$P$220,"Y",'L4-L6 Schedule'!$R$6:$R$220,"&gt;0"),_xlfn.MAXIFS('L4-L6 Schedule'!$R$6:$R$220,'L4-L6 Schedule'!$D$6:$D$220,$A5),"")</f>
        <v/>
      </c>
      <c r="M5" s="46" t="n">
        <f aca="false">IFERROR(SUMPRODUCT(('L4-L6 Schedule'!$D$6:$D$220=$A5)*('L4-L6 Schedule'!$P$6:$P$220="Y")*'L4-L6 Schedule'!$L$6:$L$220*'L4-L6 Schedule'!$S$6:$S$220)/SUMIFS('L4-L6 Schedule'!$L$6:$L$220,'L4-L6 Schedule'!$D$6:$D$220,$A5,'L4-L6 Schedule'!$P$6:$P$220,"Y"),0)</f>
        <v>0</v>
      </c>
      <c r="N5" s="37" t="str">
        <f aca="false">IF(ISNUMBER(L5),"Completed",IF(ISNUMBER(K5),"In Progress","Not Started"))</f>
        <v>Not Started</v>
      </c>
    </row>
    <row r="6" customFormat="false" ht="15" hidden="false" customHeight="false" outlineLevel="0" collapsed="false">
      <c r="A6" s="37" t="s">
        <v>157</v>
      </c>
      <c r="B6" s="37" t="s">
        <v>873</v>
      </c>
      <c r="C6" s="37" t="s">
        <v>874</v>
      </c>
      <c r="D6" s="37" t="s">
        <v>875</v>
      </c>
      <c r="E6" s="43" t="n">
        <f aca="false">_xlfn.MINIFS('L4-L6 Schedule'!$N$6:$N$220,'L4-L6 Schedule'!$D$6:$D$220,$A6)</f>
        <v>46680</v>
      </c>
      <c r="F6" s="43" t="n">
        <f aca="false">_xlfn.MAXIFS('L4-L6 Schedule'!$O$6:$O$220,'L4-L6 Schedule'!$D$6:$D$220,$A6)</f>
        <v>46872</v>
      </c>
      <c r="G6" s="44" t="n">
        <f aca="false">NETWORKDAYS.INTL(E6,F6,11)</f>
        <v>166</v>
      </c>
      <c r="H6" s="45" t="n">
        <f aca="false">COUNTIFS('L4-L6 Schedule'!$D$6:$D$220,$A6,'L4-L6 Schedule'!$C$6:$C$220,"L4")</f>
        <v>2</v>
      </c>
      <c r="I6" s="45" t="n">
        <f aca="false">COUNTIFS('L4-L6 Schedule'!$D$6:$D$220,$A6,'L4-L6 Schedule'!$C$6:$C$220,"L5")</f>
        <v>4</v>
      </c>
      <c r="J6" s="45" t="n">
        <f aca="false">COUNTIFS('L4-L6 Schedule'!$D$6:$D$220,$A6,'L4-L6 Schedule'!$C$6:$C$220,"L6")</f>
        <v>16</v>
      </c>
      <c r="K6" s="43" t="str">
        <f aca="false">IF(COUNTIFS('L4-L6 Schedule'!$D$6:$D$220,$A6,'L4-L6 Schedule'!$Q$6:$Q$220,"&gt;0")=0,"",_xlfn.MINIFS('L4-L6 Schedule'!$Q$6:$Q$220,'L4-L6 Schedule'!$D$6:$D$220,$A6))</f>
        <v/>
      </c>
      <c r="L6" s="43" t="str">
        <f aca="false">IF(COUNTIFS('L4-L6 Schedule'!$D$6:$D$220,$A6,'L4-L6 Schedule'!$P$6:$P$220,"Y")=COUNTIFS('L4-L6 Schedule'!$D$6:$D$220,$A6,'L4-L6 Schedule'!$P$6:$P$220,"Y",'L4-L6 Schedule'!$R$6:$R$220,"&gt;0"),_xlfn.MAXIFS('L4-L6 Schedule'!$R$6:$R$220,'L4-L6 Schedule'!$D$6:$D$220,$A6),"")</f>
        <v/>
      </c>
      <c r="M6" s="46" t="n">
        <f aca="false">IFERROR(SUMPRODUCT(('L4-L6 Schedule'!$D$6:$D$220=$A6)*('L4-L6 Schedule'!$P$6:$P$220="Y")*'L4-L6 Schedule'!$L$6:$L$220*'L4-L6 Schedule'!$S$6:$S$220)/SUMIFS('L4-L6 Schedule'!$L$6:$L$220,'L4-L6 Schedule'!$D$6:$D$220,$A6,'L4-L6 Schedule'!$P$6:$P$220,"Y"),0)</f>
        <v>0</v>
      </c>
      <c r="N6" s="37" t="str">
        <f aca="false">IF(ISNUMBER(L6),"Completed",IF(ISNUMBER(K6),"In Progress","Not Started"))</f>
        <v>Not Started</v>
      </c>
    </row>
    <row r="7" customFormat="false" ht="23.85" hidden="false" customHeight="false" outlineLevel="0" collapsed="false">
      <c r="A7" s="37" t="s">
        <v>241</v>
      </c>
      <c r="B7" s="37" t="s">
        <v>876</v>
      </c>
      <c r="C7" s="37" t="s">
        <v>877</v>
      </c>
      <c r="D7" s="37" t="s">
        <v>878</v>
      </c>
      <c r="E7" s="43" t="n">
        <f aca="false">_xlfn.MINIFS('L4-L6 Schedule'!$N$6:$N$220,'L4-L6 Schedule'!$D$6:$D$220,$A7)</f>
        <v>46709</v>
      </c>
      <c r="F7" s="43" t="n">
        <f aca="false">_xlfn.MAXIFS('L4-L6 Schedule'!$O$6:$O$220,'L4-L6 Schedule'!$D$6:$D$220,$A7)</f>
        <v>46790</v>
      </c>
      <c r="G7" s="44" t="n">
        <f aca="false">NETWORKDAYS.INTL(E7,F7,11)</f>
        <v>70</v>
      </c>
      <c r="H7" s="45" t="n">
        <f aca="false">COUNTIFS('L4-L6 Schedule'!$D$6:$D$220,$A7,'L4-L6 Schedule'!$C$6:$C$220,"L4")</f>
        <v>2</v>
      </c>
      <c r="I7" s="45" t="n">
        <f aca="false">COUNTIFS('L4-L6 Schedule'!$D$6:$D$220,$A7,'L4-L6 Schedule'!$C$6:$C$220,"L5")</f>
        <v>6</v>
      </c>
      <c r="J7" s="45" t="n">
        <f aca="false">COUNTIFS('L4-L6 Schedule'!$D$6:$D$220,$A7,'L4-L6 Schedule'!$C$6:$C$220,"L6")</f>
        <v>28</v>
      </c>
      <c r="K7" s="43" t="str">
        <f aca="false">IF(COUNTIFS('L4-L6 Schedule'!$D$6:$D$220,$A7,'L4-L6 Schedule'!$Q$6:$Q$220,"&gt;0")=0,"",_xlfn.MINIFS('L4-L6 Schedule'!$Q$6:$Q$220,'L4-L6 Schedule'!$D$6:$D$220,$A7))</f>
        <v/>
      </c>
      <c r="L7" s="43" t="str">
        <f aca="false">IF(COUNTIFS('L4-L6 Schedule'!$D$6:$D$220,$A7,'L4-L6 Schedule'!$P$6:$P$220,"Y")=COUNTIFS('L4-L6 Schedule'!$D$6:$D$220,$A7,'L4-L6 Schedule'!$P$6:$P$220,"Y",'L4-L6 Schedule'!$R$6:$R$220,"&gt;0"),_xlfn.MAXIFS('L4-L6 Schedule'!$R$6:$R$220,'L4-L6 Schedule'!$D$6:$D$220,$A7),"")</f>
        <v/>
      </c>
      <c r="M7" s="46" t="n">
        <f aca="false">IFERROR(SUMPRODUCT(('L4-L6 Schedule'!$D$6:$D$220=$A7)*('L4-L6 Schedule'!$P$6:$P$220="Y")*'L4-L6 Schedule'!$L$6:$L$220*'L4-L6 Schedule'!$S$6:$S$220)/SUMIFS('L4-L6 Schedule'!$L$6:$L$220,'L4-L6 Schedule'!$D$6:$D$220,$A7,'L4-L6 Schedule'!$P$6:$P$220,"Y"),0)</f>
        <v>0</v>
      </c>
      <c r="N7" s="37" t="str">
        <f aca="false">IF(ISNUMBER(L7),"Completed",IF(ISNUMBER(K7),"In Progress","Not Started"))</f>
        <v>Not Started</v>
      </c>
    </row>
    <row r="8" customFormat="false" ht="23.85" hidden="false" customHeight="false" outlineLevel="0" collapsed="false">
      <c r="A8" s="37" t="s">
        <v>362</v>
      </c>
      <c r="B8" s="37" t="s">
        <v>879</v>
      </c>
      <c r="C8" s="37" t="s">
        <v>880</v>
      </c>
      <c r="D8" s="37" t="s">
        <v>881</v>
      </c>
      <c r="E8" s="43" t="n">
        <f aca="false">_xlfn.MINIFS('L4-L6 Schedule'!$N$6:$N$220,'L4-L6 Schedule'!$D$6:$D$220,$A8)</f>
        <v>46709</v>
      </c>
      <c r="F8" s="43" t="n">
        <f aca="false">_xlfn.MAXIFS('L4-L6 Schedule'!$O$6:$O$220,'L4-L6 Schedule'!$D$6:$D$220,$A8)</f>
        <v>46752</v>
      </c>
      <c r="G8" s="44" t="n">
        <f aca="false">NETWORKDAYS.INTL(E8,F8,11)</f>
        <v>38</v>
      </c>
      <c r="H8" s="45" t="n">
        <f aca="false">COUNTIFS('L4-L6 Schedule'!$D$6:$D$220,$A8,'L4-L6 Schedule'!$C$6:$C$220,"L4")</f>
        <v>3</v>
      </c>
      <c r="I8" s="45" t="n">
        <f aca="false">COUNTIFS('L4-L6 Schedule'!$D$6:$D$220,$A8,'L4-L6 Schedule'!$C$6:$C$220,"L5")</f>
        <v>3</v>
      </c>
      <c r="J8" s="45" t="n">
        <f aca="false">COUNTIFS('L4-L6 Schedule'!$D$6:$D$220,$A8,'L4-L6 Schedule'!$C$6:$C$220,"L6")</f>
        <v>14</v>
      </c>
      <c r="K8" s="43" t="str">
        <f aca="false">IF(COUNTIFS('L4-L6 Schedule'!$D$6:$D$220,$A8,'L4-L6 Schedule'!$Q$6:$Q$220,"&gt;0")=0,"",_xlfn.MINIFS('L4-L6 Schedule'!$Q$6:$Q$220,'L4-L6 Schedule'!$D$6:$D$220,$A8))</f>
        <v/>
      </c>
      <c r="L8" s="43" t="str">
        <f aca="false">IF(COUNTIFS('L4-L6 Schedule'!$D$6:$D$220,$A8,'L4-L6 Schedule'!$P$6:$P$220,"Y")=COUNTIFS('L4-L6 Schedule'!$D$6:$D$220,$A8,'L4-L6 Schedule'!$P$6:$P$220,"Y",'L4-L6 Schedule'!$R$6:$R$220,"&gt;0"),_xlfn.MAXIFS('L4-L6 Schedule'!$R$6:$R$220,'L4-L6 Schedule'!$D$6:$D$220,$A8),"")</f>
        <v/>
      </c>
      <c r="M8" s="46" t="n">
        <f aca="false">IFERROR(SUMPRODUCT(('L4-L6 Schedule'!$D$6:$D$220=$A8)*('L4-L6 Schedule'!$P$6:$P$220="Y")*'L4-L6 Schedule'!$L$6:$L$220*'L4-L6 Schedule'!$S$6:$S$220)/SUMIFS('L4-L6 Schedule'!$L$6:$L$220,'L4-L6 Schedule'!$D$6:$D$220,$A8,'L4-L6 Schedule'!$P$6:$P$220,"Y"),0)</f>
        <v>0</v>
      </c>
      <c r="N8" s="37" t="str">
        <f aca="false">IF(ISNUMBER(L8),"Completed",IF(ISNUMBER(K8),"In Progress","Not Started"))</f>
        <v>Not Started</v>
      </c>
    </row>
    <row r="9" customFormat="false" ht="23.85" hidden="false" customHeight="false" outlineLevel="0" collapsed="false">
      <c r="A9" s="37" t="s">
        <v>434</v>
      </c>
      <c r="B9" s="37" t="s">
        <v>882</v>
      </c>
      <c r="C9" s="37" t="s">
        <v>883</v>
      </c>
      <c r="D9" s="37" t="s">
        <v>884</v>
      </c>
      <c r="E9" s="43" t="n">
        <f aca="false">_xlfn.MINIFS('L4-L6 Schedule'!$N$6:$N$220,'L4-L6 Schedule'!$D$6:$D$220,$A9)</f>
        <v>46709</v>
      </c>
      <c r="F9" s="43" t="n">
        <f aca="false">_xlfn.MAXIFS('L4-L6 Schedule'!$O$6:$O$220,'L4-L6 Schedule'!$D$6:$D$220,$A9)</f>
        <v>46794</v>
      </c>
      <c r="G9" s="44" t="n">
        <f aca="false">NETWORKDAYS.INTL(E9,F9,11)</f>
        <v>74</v>
      </c>
      <c r="H9" s="45" t="n">
        <f aca="false">COUNTIFS('L4-L6 Schedule'!$D$6:$D$220,$A9,'L4-L6 Schedule'!$C$6:$C$220,"L4")</f>
        <v>2</v>
      </c>
      <c r="I9" s="45" t="n">
        <f aca="false">COUNTIFS('L4-L6 Schedule'!$D$6:$D$220,$A9,'L4-L6 Schedule'!$C$6:$C$220,"L5")</f>
        <v>3</v>
      </c>
      <c r="J9" s="45" t="n">
        <f aca="false">COUNTIFS('L4-L6 Schedule'!$D$6:$D$220,$A9,'L4-L6 Schedule'!$C$6:$C$220,"L6")</f>
        <v>12</v>
      </c>
      <c r="K9" s="43" t="str">
        <f aca="false">IF(COUNTIFS('L4-L6 Schedule'!$D$6:$D$220,$A9,'L4-L6 Schedule'!$Q$6:$Q$220,"&gt;0")=0,"",_xlfn.MINIFS('L4-L6 Schedule'!$Q$6:$Q$220,'L4-L6 Schedule'!$D$6:$D$220,$A9))</f>
        <v/>
      </c>
      <c r="L9" s="43" t="str">
        <f aca="false">IF(COUNTIFS('L4-L6 Schedule'!$D$6:$D$220,$A9,'L4-L6 Schedule'!$P$6:$P$220,"Y")=COUNTIFS('L4-L6 Schedule'!$D$6:$D$220,$A9,'L4-L6 Schedule'!$P$6:$P$220,"Y",'L4-L6 Schedule'!$R$6:$R$220,"&gt;0"),_xlfn.MAXIFS('L4-L6 Schedule'!$R$6:$R$220,'L4-L6 Schedule'!$D$6:$D$220,$A9),"")</f>
        <v/>
      </c>
      <c r="M9" s="46" t="n">
        <f aca="false">IFERROR(SUMPRODUCT(('L4-L6 Schedule'!$D$6:$D$220=$A9)*('L4-L6 Schedule'!$P$6:$P$220="Y")*'L4-L6 Schedule'!$L$6:$L$220*'L4-L6 Schedule'!$S$6:$S$220)/SUMIFS('L4-L6 Schedule'!$L$6:$L$220,'L4-L6 Schedule'!$D$6:$D$220,$A9,'L4-L6 Schedule'!$P$6:$P$220,"Y"),0)</f>
        <v>0</v>
      </c>
      <c r="N9" s="37" t="str">
        <f aca="false">IF(ISNUMBER(L9),"Completed",IF(ISNUMBER(K9),"In Progress","Not Started"))</f>
        <v>Not Started</v>
      </c>
    </row>
    <row r="10" customFormat="false" ht="15" hidden="false" customHeight="false" outlineLevel="0" collapsed="false">
      <c r="A10" s="37" t="s">
        <v>492</v>
      </c>
      <c r="B10" s="37" t="s">
        <v>885</v>
      </c>
      <c r="C10" s="37" t="s">
        <v>886</v>
      </c>
      <c r="D10" s="37" t="s">
        <v>887</v>
      </c>
      <c r="E10" s="43" t="n">
        <f aca="false">_xlfn.MINIFS('L4-L6 Schedule'!$N$6:$N$220,'L4-L6 Schedule'!$D$6:$D$220,$A10)</f>
        <v>46688</v>
      </c>
      <c r="F10" s="43" t="n">
        <f aca="false">_xlfn.MAXIFS('L4-L6 Schedule'!$O$6:$O$220,'L4-L6 Schedule'!$D$6:$D$220,$A10)</f>
        <v>46815</v>
      </c>
      <c r="G10" s="44" t="n">
        <f aca="false">NETWORKDAYS.INTL(E10,F10,11)</f>
        <v>110</v>
      </c>
      <c r="H10" s="45" t="n">
        <f aca="false">COUNTIFS('L4-L6 Schedule'!$D$6:$D$220,$A10,'L4-L6 Schedule'!$C$6:$C$220,"L4")</f>
        <v>2</v>
      </c>
      <c r="I10" s="45" t="n">
        <f aca="false">COUNTIFS('L4-L6 Schedule'!$D$6:$D$220,$A10,'L4-L6 Schedule'!$C$6:$C$220,"L5")</f>
        <v>5</v>
      </c>
      <c r="J10" s="45" t="n">
        <f aca="false">COUNTIFS('L4-L6 Schedule'!$D$6:$D$220,$A10,'L4-L6 Schedule'!$C$6:$C$220,"L6")</f>
        <v>16</v>
      </c>
      <c r="K10" s="43" t="str">
        <f aca="false">IF(COUNTIFS('L4-L6 Schedule'!$D$6:$D$220,$A10,'L4-L6 Schedule'!$Q$6:$Q$220,"&gt;0")=0,"",_xlfn.MINIFS('L4-L6 Schedule'!$Q$6:$Q$220,'L4-L6 Schedule'!$D$6:$D$220,$A10))</f>
        <v/>
      </c>
      <c r="L10" s="43" t="str">
        <f aca="false">IF(COUNTIFS('L4-L6 Schedule'!$D$6:$D$220,$A10,'L4-L6 Schedule'!$P$6:$P$220,"Y")=COUNTIFS('L4-L6 Schedule'!$D$6:$D$220,$A10,'L4-L6 Schedule'!$P$6:$P$220,"Y",'L4-L6 Schedule'!$R$6:$R$220,"&gt;0"),_xlfn.MAXIFS('L4-L6 Schedule'!$R$6:$R$220,'L4-L6 Schedule'!$D$6:$D$220,$A10),"")</f>
        <v/>
      </c>
      <c r="M10" s="46" t="n">
        <f aca="false">IFERROR(SUMPRODUCT(('L4-L6 Schedule'!$D$6:$D$220=$A10)*('L4-L6 Schedule'!$P$6:$P$220="Y")*'L4-L6 Schedule'!$L$6:$L$220*'L4-L6 Schedule'!$S$6:$S$220)/SUMIFS('L4-L6 Schedule'!$L$6:$L$220,'L4-L6 Schedule'!$D$6:$D$220,$A10,'L4-L6 Schedule'!$P$6:$P$220,"Y"),0)</f>
        <v>0</v>
      </c>
      <c r="N10" s="37" t="str">
        <f aca="false">IF(ISNUMBER(L10),"Completed",IF(ISNUMBER(K10),"In Progress","Not Started"))</f>
        <v>Not Started</v>
      </c>
    </row>
    <row r="11" customFormat="false" ht="15" hidden="false" customHeight="false" outlineLevel="0" collapsed="false">
      <c r="A11" s="37" t="s">
        <v>573</v>
      </c>
      <c r="B11" s="37" t="s">
        <v>888</v>
      </c>
      <c r="C11" s="37" t="s">
        <v>889</v>
      </c>
      <c r="D11" s="37" t="s">
        <v>890</v>
      </c>
      <c r="E11" s="43" t="n">
        <f aca="false">_xlfn.MINIFS('L4-L6 Schedule'!$N$6:$N$220,'L4-L6 Schedule'!$D$6:$D$220,$A11)</f>
        <v>46834</v>
      </c>
      <c r="F11" s="43" t="n">
        <f aca="false">_xlfn.MAXIFS('L4-L6 Schedule'!$O$6:$O$220,'L4-L6 Schedule'!$D$6:$D$220,$A11)</f>
        <v>46858</v>
      </c>
      <c r="G11" s="44" t="n">
        <f aca="false">NETWORKDAYS.INTL(E11,F11,11)</f>
        <v>22</v>
      </c>
      <c r="H11" s="45" t="n">
        <f aca="false">COUNTIFS('L4-L6 Schedule'!$D$6:$D$220,$A11,'L4-L6 Schedule'!$C$6:$C$220,"L4")</f>
        <v>2</v>
      </c>
      <c r="I11" s="45" t="n">
        <f aca="false">COUNTIFS('L4-L6 Schedule'!$D$6:$D$220,$A11,'L4-L6 Schedule'!$C$6:$C$220,"L5")</f>
        <v>4</v>
      </c>
      <c r="J11" s="45" t="n">
        <f aca="false">COUNTIFS('L4-L6 Schedule'!$D$6:$D$220,$A11,'L4-L6 Schedule'!$C$6:$C$220,"L6")</f>
        <v>16</v>
      </c>
      <c r="K11" s="43" t="str">
        <f aca="false">IF(COUNTIFS('L4-L6 Schedule'!$D$6:$D$220,$A11,'L4-L6 Schedule'!$Q$6:$Q$220,"&gt;0")=0,"",_xlfn.MINIFS('L4-L6 Schedule'!$Q$6:$Q$220,'L4-L6 Schedule'!$D$6:$D$220,$A11))</f>
        <v/>
      </c>
      <c r="L11" s="43" t="str">
        <f aca="false">IF(COUNTIFS('L4-L6 Schedule'!$D$6:$D$220,$A11,'L4-L6 Schedule'!$P$6:$P$220,"Y")=COUNTIFS('L4-L6 Schedule'!$D$6:$D$220,$A11,'L4-L6 Schedule'!$P$6:$P$220,"Y",'L4-L6 Schedule'!$R$6:$R$220,"&gt;0"),_xlfn.MAXIFS('L4-L6 Schedule'!$R$6:$R$220,'L4-L6 Schedule'!$D$6:$D$220,$A11),"")</f>
        <v/>
      </c>
      <c r="M11" s="46" t="n">
        <f aca="false">IFERROR(SUMPRODUCT(('L4-L6 Schedule'!$D$6:$D$220=$A11)*('L4-L6 Schedule'!$P$6:$P$220="Y")*'L4-L6 Schedule'!$L$6:$L$220*'L4-L6 Schedule'!$S$6:$S$220)/SUMIFS('L4-L6 Schedule'!$L$6:$L$220,'L4-L6 Schedule'!$D$6:$D$220,$A11,'L4-L6 Schedule'!$P$6:$P$220,"Y"),0)</f>
        <v>0</v>
      </c>
      <c r="N11" s="37" t="str">
        <f aca="false">IF(ISNUMBER(L11),"Completed",IF(ISNUMBER(K11),"In Progress","Not Started"))</f>
        <v>Not Started</v>
      </c>
    </row>
    <row r="12" customFormat="false" ht="23.85" hidden="false" customHeight="false" outlineLevel="0" collapsed="false">
      <c r="A12" s="37" t="s">
        <v>657</v>
      </c>
      <c r="B12" s="37" t="s">
        <v>891</v>
      </c>
      <c r="C12" s="37" t="s">
        <v>892</v>
      </c>
      <c r="D12" s="37" t="s">
        <v>893</v>
      </c>
      <c r="E12" s="43" t="n">
        <f aca="false">_xlfn.MINIFS('L4-L6 Schedule'!$N$6:$N$220,'L4-L6 Schedule'!$D$6:$D$220,$A12)</f>
        <v>46688</v>
      </c>
      <c r="F12" s="43" t="n">
        <f aca="false">_xlfn.MAXIFS('L4-L6 Schedule'!$O$6:$O$220,'L4-L6 Schedule'!$D$6:$D$220,$A12)</f>
        <v>46877</v>
      </c>
      <c r="G12" s="44" t="n">
        <f aca="false">NETWORKDAYS.INTL(E12,F12,11)</f>
        <v>163</v>
      </c>
      <c r="H12" s="45" t="n">
        <f aca="false">COUNTIFS('L4-L6 Schedule'!$D$6:$D$220,$A12,'L4-L6 Schedule'!$C$6:$C$220,"L4")</f>
        <v>2</v>
      </c>
      <c r="I12" s="45" t="n">
        <f aca="false">COUNTIFS('L4-L6 Schedule'!$D$6:$D$220,$A12,'L4-L6 Schedule'!$C$6:$C$220,"L5")</f>
        <v>4</v>
      </c>
      <c r="J12" s="45" t="n">
        <f aca="false">COUNTIFS('L4-L6 Schedule'!$D$6:$D$220,$A12,'L4-L6 Schedule'!$C$6:$C$220,"L6")</f>
        <v>10</v>
      </c>
      <c r="K12" s="43" t="str">
        <f aca="false">IF(COUNTIFS('L4-L6 Schedule'!$D$6:$D$220,$A12,'L4-L6 Schedule'!$Q$6:$Q$220,"&gt;0")=0,"",_xlfn.MINIFS('L4-L6 Schedule'!$Q$6:$Q$220,'L4-L6 Schedule'!$D$6:$D$220,$A12))</f>
        <v/>
      </c>
      <c r="L12" s="43" t="str">
        <f aca="false">IF(COUNTIFS('L4-L6 Schedule'!$D$6:$D$220,$A12,'L4-L6 Schedule'!$P$6:$P$220,"Y")=COUNTIFS('L4-L6 Schedule'!$D$6:$D$220,$A12,'L4-L6 Schedule'!$P$6:$P$220,"Y",'L4-L6 Schedule'!$R$6:$R$220,"&gt;0"),_xlfn.MAXIFS('L4-L6 Schedule'!$R$6:$R$220,'L4-L6 Schedule'!$D$6:$D$220,$A12),"")</f>
        <v/>
      </c>
      <c r="M12" s="46" t="n">
        <f aca="false">IFERROR(SUMPRODUCT(('L4-L6 Schedule'!$D$6:$D$220=$A12)*('L4-L6 Schedule'!$P$6:$P$220="Y")*'L4-L6 Schedule'!$L$6:$L$220*'L4-L6 Schedule'!$S$6:$S$220)/SUMIFS('L4-L6 Schedule'!$L$6:$L$220,'L4-L6 Schedule'!$D$6:$D$220,$A12,'L4-L6 Schedule'!$P$6:$P$220,"Y"),0)</f>
        <v>0</v>
      </c>
      <c r="N12" s="37" t="str">
        <f aca="false">IF(ISNUMBER(L12),"Completed",IF(ISNUMBER(K12),"In Progress","Not Started"))</f>
        <v>Not Started</v>
      </c>
    </row>
    <row r="13" customFormat="false" ht="15" hidden="false" customHeight="false" outlineLevel="0" collapsed="false">
      <c r="A13" s="37" t="s">
        <v>716</v>
      </c>
      <c r="B13" s="37" t="s">
        <v>894</v>
      </c>
      <c r="C13" s="37" t="s">
        <v>895</v>
      </c>
      <c r="D13" s="37" t="s">
        <v>896</v>
      </c>
      <c r="E13" s="43" t="n">
        <f aca="false">_xlfn.MINIFS('L4-L6 Schedule'!$N$6:$N$220,'L4-L6 Schedule'!$D$6:$D$220,$A13)</f>
        <v>46718</v>
      </c>
      <c r="F13" s="43" t="n">
        <f aca="false">_xlfn.MAXIFS('L4-L6 Schedule'!$O$6:$O$220,'L4-L6 Schedule'!$D$6:$D$220,$A13)</f>
        <v>46923</v>
      </c>
      <c r="G13" s="44" t="n">
        <f aca="false">NETWORKDAYS.INTL(E13,F13,11)</f>
        <v>176</v>
      </c>
      <c r="H13" s="45" t="n">
        <f aca="false">COUNTIFS('L4-L6 Schedule'!$D$6:$D$220,$A13,'L4-L6 Schedule'!$C$6:$C$220,"L4")</f>
        <v>1</v>
      </c>
      <c r="I13" s="45" t="n">
        <f aca="false">COUNTIFS('L4-L6 Schedule'!$D$6:$D$220,$A13,'L4-L6 Schedule'!$C$6:$C$220,"L5")</f>
        <v>3</v>
      </c>
      <c r="J13" s="45" t="n">
        <f aca="false">COUNTIFS('L4-L6 Schedule'!$D$6:$D$220,$A13,'L4-L6 Schedule'!$C$6:$C$220,"L6")</f>
        <v>10</v>
      </c>
      <c r="K13" s="43" t="str">
        <f aca="false">IF(COUNTIFS('L4-L6 Schedule'!$D$6:$D$220,$A13,'L4-L6 Schedule'!$Q$6:$Q$220,"&gt;0")=0,"",_xlfn.MINIFS('L4-L6 Schedule'!$Q$6:$Q$220,'L4-L6 Schedule'!$D$6:$D$220,$A13))</f>
        <v/>
      </c>
      <c r="L13" s="43" t="str">
        <f aca="false">IF(COUNTIFS('L4-L6 Schedule'!$D$6:$D$220,$A13,'L4-L6 Schedule'!$P$6:$P$220,"Y")=COUNTIFS('L4-L6 Schedule'!$D$6:$D$220,$A13,'L4-L6 Schedule'!$P$6:$P$220,"Y",'L4-L6 Schedule'!$R$6:$R$220,"&gt;0"),_xlfn.MAXIFS('L4-L6 Schedule'!$R$6:$R$220,'L4-L6 Schedule'!$D$6:$D$220,$A13),"")</f>
        <v/>
      </c>
      <c r="M13" s="46" t="n">
        <f aca="false">IFERROR(SUMPRODUCT(('L4-L6 Schedule'!$D$6:$D$220=$A13)*('L4-L6 Schedule'!$P$6:$P$220="Y")*'L4-L6 Schedule'!$L$6:$L$220*'L4-L6 Schedule'!$S$6:$S$220)/SUMIFS('L4-L6 Schedule'!$L$6:$L$220,'L4-L6 Schedule'!$D$6:$D$220,$A13,'L4-L6 Schedule'!$P$6:$P$220,"Y"),0)</f>
        <v>0</v>
      </c>
      <c r="N13" s="37" t="str">
        <f aca="false">IF(ISNUMBER(L13),"Completed",IF(ISNUMBER(K13),"In Progress","Not Started"))</f>
        <v>Not Started</v>
      </c>
    </row>
    <row r="14" customFormat="false" ht="23.85" hidden="false" customHeight="false" outlineLevel="0" collapsed="false">
      <c r="A14" s="37" t="s">
        <v>767</v>
      </c>
      <c r="B14" s="37" t="s">
        <v>897</v>
      </c>
      <c r="C14" s="37" t="s">
        <v>898</v>
      </c>
      <c r="D14" s="37" t="s">
        <v>899</v>
      </c>
      <c r="E14" s="43" t="n">
        <f aca="false">_xlfn.MINIFS('L4-L6 Schedule'!$N$6:$N$220,'L4-L6 Schedule'!$D$6:$D$220,$A14)</f>
        <v>46805</v>
      </c>
      <c r="F14" s="43" t="n">
        <f aca="false">_xlfn.MAXIFS('L4-L6 Schedule'!$O$6:$O$220,'L4-L6 Schedule'!$D$6:$D$220,$A14)</f>
        <v>46928</v>
      </c>
      <c r="G14" s="44" t="n">
        <f aca="false">NETWORKDAYS.INTL(E14,F14,11)</f>
        <v>107</v>
      </c>
      <c r="H14" s="45" t="n">
        <f aca="false">COUNTIFS('L4-L6 Schedule'!$D$6:$D$220,$A14,'L4-L6 Schedule'!$C$6:$C$220,"L4")</f>
        <v>1</v>
      </c>
      <c r="I14" s="45" t="n">
        <f aca="false">COUNTIFS('L4-L6 Schedule'!$D$6:$D$220,$A14,'L4-L6 Schedule'!$C$6:$C$220,"L5")</f>
        <v>2</v>
      </c>
      <c r="J14" s="45" t="n">
        <f aca="false">COUNTIFS('L4-L6 Schedule'!$D$6:$D$220,$A14,'L4-L6 Schedule'!$C$6:$C$220,"L6")</f>
        <v>6</v>
      </c>
      <c r="K14" s="43" t="str">
        <f aca="false">IF(COUNTIFS('L4-L6 Schedule'!$D$6:$D$220,$A14,'L4-L6 Schedule'!$Q$6:$Q$220,"&gt;0")=0,"",_xlfn.MINIFS('L4-L6 Schedule'!$Q$6:$Q$220,'L4-L6 Schedule'!$D$6:$D$220,$A14))</f>
        <v/>
      </c>
      <c r="L14" s="43" t="str">
        <f aca="false">IF(COUNTIFS('L4-L6 Schedule'!$D$6:$D$220,$A14,'L4-L6 Schedule'!$P$6:$P$220,"Y")=COUNTIFS('L4-L6 Schedule'!$D$6:$D$220,$A14,'L4-L6 Schedule'!$P$6:$P$220,"Y",'L4-L6 Schedule'!$R$6:$R$220,"&gt;0"),_xlfn.MAXIFS('L4-L6 Schedule'!$R$6:$R$220,'L4-L6 Schedule'!$D$6:$D$220,$A14),"")</f>
        <v/>
      </c>
      <c r="M14" s="46" t="n">
        <f aca="false">IFERROR(SUMPRODUCT(('L4-L6 Schedule'!$D$6:$D$220=$A14)*('L4-L6 Schedule'!$P$6:$P$220="Y")*'L4-L6 Schedule'!$L$6:$L$220*'L4-L6 Schedule'!$S$6:$S$220)/SUMIFS('L4-L6 Schedule'!$L$6:$L$220,'L4-L6 Schedule'!$D$6:$D$220,$A14,'L4-L6 Schedule'!$P$6:$P$220,"Y"),0)</f>
        <v>0</v>
      </c>
      <c r="N14" s="37" t="str">
        <f aca="false">IF(ISNUMBER(L14),"Completed",IF(ISNUMBER(K14),"In Progress","Not Started"))</f>
        <v>Not Started</v>
      </c>
    </row>
    <row r="15" customFormat="false" ht="23.85" hidden="false" customHeight="false" outlineLevel="0" collapsed="false">
      <c r="A15" s="37" t="s">
        <v>803</v>
      </c>
      <c r="B15" s="37" t="s">
        <v>900</v>
      </c>
      <c r="C15" s="37" t="s">
        <v>901</v>
      </c>
      <c r="D15" s="37" t="s">
        <v>902</v>
      </c>
      <c r="E15" s="43" t="n">
        <f aca="false">_xlfn.MINIFS('L4-L6 Schedule'!$N$6:$N$220,'L4-L6 Schedule'!$D$6:$D$220,$A15)</f>
        <v>46816</v>
      </c>
      <c r="F15" s="43" t="n">
        <f aca="false">_xlfn.MAXIFS('L4-L6 Schedule'!$O$6:$O$220,'L4-L6 Schedule'!$D$6:$D$220,$A15)</f>
        <v>46954</v>
      </c>
      <c r="G15" s="44" t="n">
        <f aca="false">NETWORKDAYS.INTL(E15,F15,11)</f>
        <v>119</v>
      </c>
      <c r="H15" s="45" t="n">
        <f aca="false">COUNTIFS('L4-L6 Schedule'!$D$6:$D$220,$A15,'L4-L6 Schedule'!$C$6:$C$220,"L4")</f>
        <v>1</v>
      </c>
      <c r="I15" s="45" t="n">
        <f aca="false">COUNTIFS('L4-L6 Schedule'!$D$6:$D$220,$A15,'L4-L6 Schedule'!$C$6:$C$220,"L5")</f>
        <v>4</v>
      </c>
      <c r="J15" s="45" t="n">
        <f aca="false">COUNTIFS('L4-L6 Schedule'!$D$6:$D$220,$A15,'L4-L6 Schedule'!$C$6:$C$220,"L6")</f>
        <v>11</v>
      </c>
      <c r="K15" s="43" t="str">
        <f aca="false">IF(COUNTIFS('L4-L6 Schedule'!$D$6:$D$220,$A15,'L4-L6 Schedule'!$Q$6:$Q$220,"&gt;0")=0,"",_xlfn.MINIFS('L4-L6 Schedule'!$Q$6:$Q$220,'L4-L6 Schedule'!$D$6:$D$220,$A15))</f>
        <v/>
      </c>
      <c r="L15" s="43" t="str">
        <f aca="false">IF(COUNTIFS('L4-L6 Schedule'!$D$6:$D$220,$A15,'L4-L6 Schedule'!$P$6:$P$220,"Y")=COUNTIFS('L4-L6 Schedule'!$D$6:$D$220,$A15,'L4-L6 Schedule'!$P$6:$P$220,"Y",'L4-L6 Schedule'!$R$6:$R$220,"&gt;0"),_xlfn.MAXIFS('L4-L6 Schedule'!$R$6:$R$220,'L4-L6 Schedule'!$D$6:$D$220,$A15),"")</f>
        <v/>
      </c>
      <c r="M15" s="46" t="n">
        <f aca="false">IFERROR(SUMPRODUCT(('L4-L6 Schedule'!$D$6:$D$220=$A15)*('L4-L6 Schedule'!$P$6:$P$220="Y")*'L4-L6 Schedule'!$L$6:$L$220*'L4-L6 Schedule'!$S$6:$S$220)/SUMIFS('L4-L6 Schedule'!$L$6:$L$220,'L4-L6 Schedule'!$D$6:$D$220,$A15,'L4-L6 Schedule'!$P$6:$P$220,"Y"),0)</f>
        <v>0</v>
      </c>
      <c r="N15" s="37" t="str">
        <f aca="false">IF(ISNUMBER(L15),"Completed",IF(ISNUMBER(K15),"In Progress","Not Started"))</f>
        <v>Not Started</v>
      </c>
    </row>
    <row r="16" customFormat="false" ht="15" hidden="false" customHeight="false" outlineLevel="0" collapsed="false">
      <c r="C16" s="4" t="s">
        <v>903</v>
      </c>
      <c r="E16" s="47" t="n">
        <f aca="false">MIN(E5:E15)</f>
        <v>46664</v>
      </c>
      <c r="F16" s="47" t="n">
        <f aca="false">MAX(F5:F15)</f>
        <v>46954</v>
      </c>
      <c r="G16" s="4" t="n">
        <f aca="false">NETWORKDAYS.INTL(E16,F16,11)</f>
        <v>250</v>
      </c>
      <c r="H16" s="4" t="n">
        <f aca="false">SUM(H5:H15)</f>
        <v>19</v>
      </c>
      <c r="I16" s="4" t="n">
        <f aca="false">SUM(I5:I15)</f>
        <v>40</v>
      </c>
      <c r="J16" s="4" t="n">
        <f aca="false">SUM(J5:J15)</f>
        <v>149</v>
      </c>
    </row>
    <row r="18" customFormat="false" ht="15" hidden="false" customHeight="false" outlineLevel="0" collapsed="false">
      <c r="A18" s="7" t="s">
        <v>904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2026-09-20T15:50:17Z</dcterms:created>
  <dc:creator>openpyxl</dc:creator>
  <dc:description/>
  <dc:language>en-US</dc:language>
  <cp:lastModifiedBy/>
  <dcterms:modified xsi:type="dcterms:W3CDTF">2026-09-20T15:50:18Z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