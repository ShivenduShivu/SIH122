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3 Schedule" sheetId="2" state="visible" r:id="rId4"/>
    <sheet name="Key Dates" sheetId="3" state="visible" r:id="rId5"/>
  </sheets>
  <definedNames>
    <definedName function="false" hidden="false" localSheetId="1" name="_xlnm.Print_Titles" vbProcedure="false">'L3 Schedule'!$5:$5</definedName>
    <definedName function="false" hidden="true" localSheetId="1" name="_xlnm._FilterDatabase" vbProcedure="false">'L3 Schedule'!$A$5:$J$97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<sst xmlns="http://schemas.openxmlformats.org/spreadsheetml/2006/main" count="718" uniqueCount="410">
  <si>
    <t xml:space="preserve">L3 Schedule (Synthetic Case)</t>
  </si>
  <si>
    <t xml:space="preserve">Purpose</t>
  </si>
  <si>
    <t xml:space="preserve">The consultant-level (L3) schedule for the case project, from investment approval to commissioning. It shows where the construction contractor's L4-L6 schedule sits in the whole project and gives the students the parent activities to which field updates roll up.</t>
  </si>
  <si>
    <t xml:space="preserve">Sheets</t>
  </si>
  <si>
    <t xml:space="preserve">L3 Schedule: activities, logic, dates and a monthly bar chart. Key Dates: milestones and consistency checks. This README.</t>
  </si>
  <si>
    <t xml:space="preserve">Phases</t>
  </si>
  <si>
    <t xml:space="preserve">1 Project Initiation, Approval &amp; Land; 2 Statutory Clearances &amp; Inspections; 3 Utility Arrangements; 4 Design &amp; Engineering; 5 Procurement; 6 Equipment Manufacture, Inspection &amp; Delivery; 7 Construction (Contractor Package); 8 Completion, Pre-commissioning &amp; Commissioning.</t>
  </si>
  <si>
    <t xml:space="preserve">Activity IDs</t>
  </si>
  <si>
    <t xml:space="preserve">Format GWP-L3-nnn. The 11 contractor L3 activities are GWP-L3-010 to GWP-L3-110 and match the L4-L6 Schedule workbook. Other packages use the hundreds digit: 2xx approval and land, 3xx statutory, 4xx utilities, 5xx design, 6xx procurement, 8xx supplier manufacture and delivery, 9xx completion and commissioning. Phase rows are GWP-PH-n.</t>
  </si>
  <si>
    <t xml:space="preserve">Link to L4-L6 workbook</t>
  </si>
  <si>
    <t xml:space="preserve">Contractor rows (green bars) carry fixed start and finish dates copied from the L4-L6 Schedule workbook. Site handover (GWP-L3-000) is driven by contract award and statutory logic and lands on the handover date that workbook assumes. The Key Dates sheet checks this.</t>
  </si>
  <si>
    <t xml:space="preserve">Back-solved durations</t>
  </si>
  <si>
    <t xml:space="preserve">Durations of GWP-L3-530, 640 and the equipment manufacture rows (810 to 860) were set so that structural steel IFC release, contract signing and supplier deliveries land on the dates assumed in the L4-L6 workbook. They are illustrative.</t>
  </si>
  <si>
    <t xml:space="preserve">Logic and calendar</t>
  </si>
  <si>
    <t xml:space="preserve">Finish-to-Start unless stated, with a few Start-to-Start lags. Six-day week (Sunday off), no holidays. Total float is not calculated. Durations and logic are synthetic assumptions for teaching, not from any real project.</t>
  </si>
  <si>
    <t xml:space="preserve">Legend</t>
  </si>
  <si>
    <t xml:space="preserve">Blue text: hardcoded input. Black: formula. Green text: link to another sheet. Yellow fill: key input to change. Bar colours: navy = phase, blue = L3 activity, green = contractor fixed window, red = milestone.</t>
  </si>
  <si>
    <t xml:space="preserve">Result</t>
  </si>
  <si>
    <t xml:space="preserve">Approval on 1 Jan 2027; site handover 4 Oct 2027; Mechanical Completion 20 Jul 2028; commissioning acceptance 22 Dec 2028, about one week before the 31 Dec 2028 target. See Key Dates.</t>
  </si>
  <si>
    <t xml:space="preserve">Level 3 Schedule: Urban Garbage Treatment Plant (100 TPD), Town XYZ, Company ABC - Investment Approval to Commissioning</t>
  </si>
  <si>
    <t xml:space="preserve">Synthetic teaching schedule in Primavera P6 style. Blue = input, black = formula. Contractor L3 windows (green) are fixed from the L4-L6 Schedule workbook. Six-day week (Sunday off).</t>
  </si>
  <si>
    <t xml:space="preserve">Activity ID</t>
  </si>
  <si>
    <t xml:space="preserve">WBS</t>
  </si>
  <si>
    <t xml:space="preserve">Level</t>
  </si>
  <si>
    <t xml:space="preserve">Activity Name</t>
  </si>
  <si>
    <t xml:space="preserve">Type</t>
  </si>
  <si>
    <t xml:space="preserve">Responsible</t>
  </si>
  <si>
    <t xml:space="preserve">Orig Duration (wd)</t>
  </si>
  <si>
    <t xml:space="preserve">Predecessors (FS unless stated)</t>
  </si>
  <si>
    <t xml:space="preserve">Planned Start</t>
  </si>
  <si>
    <t xml:space="preserve">Planned Finish</t>
  </si>
  <si>
    <t xml:space="preserve">GWP-PH-1</t>
  </si>
  <si>
    <t xml:space="preserve">GWP.01</t>
  </si>
  <si>
    <t xml:space="preserve">Phase</t>
  </si>
  <si>
    <t xml:space="preserve">Project Initiation, Approval &amp; Land Acquisition</t>
  </si>
  <si>
    <t xml:space="preserve">GWP-L3-200</t>
  </si>
  <si>
    <t xml:space="preserve">GWP.01.01</t>
  </si>
  <si>
    <t xml:space="preserve">L3</t>
  </si>
  <si>
    <t xml:space="preserve">   Investment approval by Company ABC Board</t>
  </si>
  <si>
    <t xml:space="preserve">Milestone</t>
  </si>
  <si>
    <t xml:space="preserve">Company ABC</t>
  </si>
  <si>
    <t xml:space="preserve">Board decision date (input)</t>
  </si>
  <si>
    <t xml:space="preserve">GWP-L3-210</t>
  </si>
  <si>
    <t xml:space="preserve">GWP.01.02</t>
  </si>
  <si>
    <t xml:space="preserve">   Appoint project management consultant (PMC)</t>
  </si>
  <si>
    <t xml:space="preserve">Task</t>
  </si>
  <si>
    <t xml:space="preserve">GWP-L3-200 FS</t>
  </si>
  <si>
    <t xml:space="preserve">GWP-L3-220</t>
  </si>
  <si>
    <t xml:space="preserve">GWP.01.03</t>
  </si>
  <si>
    <t xml:space="preserve">   Project organisation, budget &amp; baseline schedule approval</t>
  </si>
  <si>
    <t xml:space="preserve">GWP-L3-210 FS</t>
  </si>
  <si>
    <t xml:space="preserve">GWP-L3-230</t>
  </si>
  <si>
    <t xml:space="preserve">GWP.01.04</t>
  </si>
  <si>
    <t xml:space="preserve">   Identify and finalise land parcel</t>
  </si>
  <si>
    <t xml:space="preserve">GWP-L3-240</t>
  </si>
  <si>
    <t xml:space="preserve">GWP.01.05</t>
  </si>
  <si>
    <t xml:space="preserve">   Land title verification &amp; due diligence</t>
  </si>
  <si>
    <t xml:space="preserve">GWP-L3-230 FS</t>
  </si>
  <si>
    <t xml:space="preserve">GWP-L3-250</t>
  </si>
  <si>
    <t xml:space="preserve">GWP.01.06</t>
  </si>
  <si>
    <t xml:space="preserve">   Land transfer / lease agreement with municipality</t>
  </si>
  <si>
    <t xml:space="preserve">GWP-L3-240 FS</t>
  </si>
  <si>
    <t xml:space="preserve">GWP-L3-260</t>
  </si>
  <si>
    <t xml:space="preserve">GWP.01.07</t>
  </si>
  <si>
    <t xml:space="preserve">   Land registration &amp; mutation</t>
  </si>
  <si>
    <t xml:space="preserve">GWP-L3-250 FS</t>
  </si>
  <si>
    <t xml:space="preserve">GWP-L3-270</t>
  </si>
  <si>
    <t xml:space="preserve">GWP.01.08</t>
  </si>
  <si>
    <t xml:space="preserve">   Land possession &amp; boundary demarcation</t>
  </si>
  <si>
    <t xml:space="preserve">GWP-L3-260 FS</t>
  </si>
  <si>
    <t xml:space="preserve">GWP-L3-275</t>
  </si>
  <si>
    <t xml:space="preserve">GWP.01.09</t>
  </si>
  <si>
    <t xml:space="preserve">   Topographic survey</t>
  </si>
  <si>
    <t xml:space="preserve">PMC / Consultant</t>
  </si>
  <si>
    <t xml:space="preserve">GWP-L3-270 FS</t>
  </si>
  <si>
    <t xml:space="preserve">GWP-L3-280</t>
  </si>
  <si>
    <t xml:space="preserve">GWP.01.10</t>
  </si>
  <si>
    <t xml:space="preserve">   Geotechnical investigation &amp; soil report</t>
  </si>
  <si>
    <t xml:space="preserve">GWP-PH-2</t>
  </si>
  <si>
    <t xml:space="preserve">GWP.02</t>
  </si>
  <si>
    <t xml:space="preserve">Statutory Clearances &amp; Inspections</t>
  </si>
  <si>
    <t xml:space="preserve">GWP-L3-300</t>
  </si>
  <si>
    <t xml:space="preserve">GWP.02.01</t>
  </si>
  <si>
    <t xml:space="preserve">   Prepare statutory application documents (site details, process description)</t>
  </si>
  <si>
    <t xml:space="preserve">GWP-L3-310</t>
  </si>
  <si>
    <t xml:space="preserve">GWP.02.02</t>
  </si>
  <si>
    <t xml:space="preserve">   Land use / zoning permission (Town Planning)</t>
  </si>
  <si>
    <t xml:space="preserve">GWP-L3-250 FS; GWP-L3-300 FS</t>
  </si>
  <si>
    <t xml:space="preserve">GWP-L3-320</t>
  </si>
  <si>
    <t xml:space="preserve">GWP.02.03</t>
  </si>
  <si>
    <t xml:space="preserve">   Consent to Establish (State Pollution Control Board)</t>
  </si>
  <si>
    <t xml:space="preserve">GWP-L3-310 FS</t>
  </si>
  <si>
    <t xml:space="preserve">GWP-L3-330</t>
  </si>
  <si>
    <t xml:space="preserve">GWP.02.04</t>
  </si>
  <si>
    <t xml:space="preserve">   Building plan approval (Town Planning Authority)</t>
  </si>
  <si>
    <t xml:space="preserve">GWP-L3-510 FS</t>
  </si>
  <si>
    <t xml:space="preserve">GWP-L3-340</t>
  </si>
  <si>
    <t xml:space="preserve">GWP.02.05</t>
  </si>
  <si>
    <t xml:space="preserve">   Groundwater / borewell NOC</t>
  </si>
  <si>
    <t xml:space="preserve">GWP-L3-350</t>
  </si>
  <si>
    <t xml:space="preserve">GWP.02.06</t>
  </si>
  <si>
    <t xml:space="preserve">   Electrical drawings approval &amp; power sanction (Electrical Inspectorate)</t>
  </si>
  <si>
    <t xml:space="preserve">GWP-L3-550 FS</t>
  </si>
  <si>
    <t xml:space="preserve">GWP-L3-360</t>
  </si>
  <si>
    <t xml:space="preserve">GWP.02.07</t>
  </si>
  <si>
    <t xml:space="preserve">   Fire safety provisional NOC</t>
  </si>
  <si>
    <t xml:space="preserve">GWP-L3-330 FS</t>
  </si>
  <si>
    <t xml:space="preserve">GWP-L3-370</t>
  </si>
  <si>
    <t xml:space="preserve">GWP.02.08</t>
  </si>
  <si>
    <t xml:space="preserve">   Labour licence &amp; BOCW registration for construction</t>
  </si>
  <si>
    <t xml:space="preserve">Contractor</t>
  </si>
  <si>
    <t xml:space="preserve">GWP-L3-630 FS</t>
  </si>
  <si>
    <t xml:space="preserve">GWP-L3-380</t>
  </si>
  <si>
    <t xml:space="preserve">GWP.02.09</t>
  </si>
  <si>
    <t xml:space="preserve">   Consent to Operate application &amp; inspection (SPCB)</t>
  </si>
  <si>
    <t xml:space="preserve">GWP-L3-900 FS</t>
  </si>
  <si>
    <t xml:space="preserve">GWP-L3-385</t>
  </si>
  <si>
    <t xml:space="preserve">GWP.02.10</t>
  </si>
  <si>
    <t xml:space="preserve">   Electrical Inspector approval for energisation</t>
  </si>
  <si>
    <t xml:space="preserve">GWP-L3-090 FS</t>
  </si>
  <si>
    <t xml:space="preserve">GWP-L3-390</t>
  </si>
  <si>
    <t xml:space="preserve">GWP.02.11</t>
  </si>
  <si>
    <t xml:space="preserve">   Final fire safety NOC (inspection)</t>
  </si>
  <si>
    <t xml:space="preserve">GWP-L3-080 FS</t>
  </si>
  <si>
    <t xml:space="preserve">GWP-PH-3</t>
  </si>
  <si>
    <t xml:space="preserve">GWP.03</t>
  </si>
  <si>
    <t xml:space="preserve">Utility Arrangements</t>
  </si>
  <si>
    <t xml:space="preserve">GWP-L3-400</t>
  </si>
  <si>
    <t xml:space="preserve">GWP.03.01</t>
  </si>
  <si>
    <t xml:space="preserve">   Power: load sanction application to DISCOM</t>
  </si>
  <si>
    <t xml:space="preserve">GWP-L3-410</t>
  </si>
  <si>
    <t xml:space="preserve">GWP.03.02</t>
  </si>
  <si>
    <t xml:space="preserve">   Power: DISCOM estimate &amp; payment</t>
  </si>
  <si>
    <t xml:space="preserve">GWP-L3-400 FS</t>
  </si>
  <si>
    <t xml:space="preserve">GWP-L3-420</t>
  </si>
  <si>
    <t xml:space="preserve">GWP.03.03</t>
  </si>
  <si>
    <t xml:space="preserve">   Power: 11 kV line, metering &amp; HT connection by DISCOM</t>
  </si>
  <si>
    <t xml:space="preserve">DISCOM</t>
  </si>
  <si>
    <t xml:space="preserve">GWP-L3-410 FS</t>
  </si>
  <si>
    <t xml:space="preserve">GWP-L3-430</t>
  </si>
  <si>
    <t xml:space="preserve">GWP.03.04</t>
  </si>
  <si>
    <t xml:space="preserve">   Water: source permission from municipal water board</t>
  </si>
  <si>
    <t xml:space="preserve">GWP-L3-440</t>
  </si>
  <si>
    <t xml:space="preserve">GWP.03.05</t>
  </si>
  <si>
    <t xml:space="preserve">   Water: pipeline connection to site</t>
  </si>
  <si>
    <t xml:space="preserve">Municipality</t>
  </si>
  <si>
    <t xml:space="preserve">GWP-L3-430 FS</t>
  </si>
  <si>
    <t xml:space="preserve">GWP-L3-450</t>
  </si>
  <si>
    <t xml:space="preserve">GWP.03.06</t>
  </si>
  <si>
    <t xml:space="preserve">   Approach road &amp; site access improvement</t>
  </si>
  <si>
    <t xml:space="preserve">GWP-L3-460</t>
  </si>
  <si>
    <t xml:space="preserve">GWP.03.07</t>
  </si>
  <si>
    <t xml:space="preserve">   Feedstock supply agreement with municipality (waste quantity, tipping fee)</t>
  </si>
  <si>
    <t xml:space="preserve">GWP-L3-220 FS</t>
  </si>
  <si>
    <t xml:space="preserve">GWP-L3-470</t>
  </si>
  <si>
    <t xml:space="preserve">GWP.03.08</t>
  </si>
  <si>
    <t xml:space="preserve">   Treated water / storm discharge point permission</t>
  </si>
  <si>
    <t xml:space="preserve">GWP-L3-480</t>
  </si>
  <si>
    <t xml:space="preserve">GWP.03.09</t>
  </si>
  <si>
    <t xml:space="preserve">   Telecom &amp; internet connectivity for SCADA</t>
  </si>
  <si>
    <t xml:space="preserve">GWP-L3-420 FS</t>
  </si>
  <si>
    <t xml:space="preserve">GWP-PH-4</t>
  </si>
  <si>
    <t xml:space="preserve">GWP.04</t>
  </si>
  <si>
    <t xml:space="preserve">Design &amp; Engineering</t>
  </si>
  <si>
    <t xml:space="preserve">GWP-L3-500</t>
  </si>
  <si>
    <t xml:space="preserve">GWP.04.01</t>
  </si>
  <si>
    <t xml:space="preserve">   Basic engineering: process flow, mass balance &amp; P&amp;IDs</t>
  </si>
  <si>
    <t xml:space="preserve">GWP-L3-510</t>
  </si>
  <si>
    <t xml:space="preserve">GWP.04.02</t>
  </si>
  <si>
    <t xml:space="preserve">   Plot plan &amp; general arrangement of buildings</t>
  </si>
  <si>
    <t xml:space="preserve">GWP-L3-500 FS; GWP-L3-275 FS</t>
  </si>
  <si>
    <t xml:space="preserve">GWP-L3-520</t>
  </si>
  <si>
    <t xml:space="preserve">GWP.04.03</t>
  </si>
  <si>
    <t xml:space="preserve">   Civil &amp; structural design: foundations &amp; RCC (IFC)</t>
  </si>
  <si>
    <t xml:space="preserve">GWP-L3-510 FS; GWP-L3-280 FS</t>
  </si>
  <si>
    <t xml:space="preserve">GWP-L3-530</t>
  </si>
  <si>
    <t xml:space="preserve">GWP.04.04</t>
  </si>
  <si>
    <t xml:space="preserve">   Structural steel design, fabrication drawings &amp; IFC release (incl. shop drawing approval)</t>
  </si>
  <si>
    <t xml:space="preserve">GWP-L3-520 FS</t>
  </si>
  <si>
    <t xml:space="preserve">GWP-L3-540</t>
  </si>
  <si>
    <t xml:space="preserve">GWP.04.05</t>
  </si>
  <si>
    <t xml:space="preserve">   Mechanical equipment specifications &amp; datasheets</t>
  </si>
  <si>
    <t xml:space="preserve">GWP-L3-500 FS</t>
  </si>
  <si>
    <t xml:space="preserve">GWP-L3-550</t>
  </si>
  <si>
    <t xml:space="preserve">GWP.04.06</t>
  </si>
  <si>
    <t xml:space="preserve">   Electrical design (single line diagram, load list, layouts)</t>
  </si>
  <si>
    <t xml:space="preserve">GWP-L3-560</t>
  </si>
  <si>
    <t xml:space="preserve">GWP.04.07</t>
  </si>
  <si>
    <t xml:space="preserve">   Instrumentation &amp; control design (I/O list, PLC architecture)</t>
  </si>
  <si>
    <t xml:space="preserve">GWP-L3-570</t>
  </si>
  <si>
    <t xml:space="preserve">GWP.04.08</t>
  </si>
  <si>
    <t xml:space="preserve">   Piping, ETP &amp; fire water design and isometrics</t>
  </si>
  <si>
    <t xml:space="preserve">GWP-L3-500 FS; GWP-L3-540 FS</t>
  </si>
  <si>
    <t xml:space="preserve">GWP-L3-580</t>
  </si>
  <si>
    <t xml:space="preserve">GWP.04.09</t>
  </si>
  <si>
    <t xml:space="preserve">   HAZOP / safety review &amp; design freeze</t>
  </si>
  <si>
    <t xml:space="preserve">GWP-L3-570 FS; GWP-L3-550 FS; GWP-L3-560 FS</t>
  </si>
  <si>
    <t xml:space="preserve">GWP-L3-590</t>
  </si>
  <si>
    <t xml:space="preserve">GWP.04.10</t>
  </si>
  <si>
    <t xml:space="preserve">   Vendor drawing review &amp; approval (foundation loads, anchor details)</t>
  </si>
  <si>
    <t xml:space="preserve">GWP-L3-660 FS</t>
  </si>
  <si>
    <t xml:space="preserve">GWP-PH-5</t>
  </si>
  <si>
    <t xml:space="preserve">GWP.05</t>
  </si>
  <si>
    <t xml:space="preserve">Procurement</t>
  </si>
  <si>
    <t xml:space="preserve">GWP-L3-600</t>
  </si>
  <si>
    <t xml:space="preserve">GWP.05.01</t>
  </si>
  <si>
    <t xml:space="preserve">   Tender documents &amp; BOQ for construction contract</t>
  </si>
  <si>
    <t xml:space="preserve">GWP-L3-610</t>
  </si>
  <si>
    <t xml:space="preserve">GWP.05.02</t>
  </si>
  <si>
    <t xml:space="preserve">   Tender floating, pre-bid meeting &amp; bid submission</t>
  </si>
  <si>
    <t xml:space="preserve">GWP-L3-600 FS</t>
  </si>
  <si>
    <t xml:space="preserve">GWP-L3-620</t>
  </si>
  <si>
    <t xml:space="preserve">GWP.05.03</t>
  </si>
  <si>
    <t xml:space="preserve">   Technical &amp; commercial evaluation</t>
  </si>
  <si>
    <t xml:space="preserve">GWP-L3-610 FS</t>
  </si>
  <si>
    <t xml:space="preserve">GWP-L3-630</t>
  </si>
  <si>
    <t xml:space="preserve">GWP.05.04</t>
  </si>
  <si>
    <t xml:space="preserve">   Negotiation, approval &amp; Letter of Award (LOA)</t>
  </si>
  <si>
    <t xml:space="preserve">GWP-L3-620 FS</t>
  </si>
  <si>
    <t xml:space="preserve">GWP-L3-640</t>
  </si>
  <si>
    <t xml:space="preserve">GWP.05.05</t>
  </si>
  <si>
    <t xml:space="preserve">   Contract signing, performance guarantee &amp; mobilisation advance</t>
  </si>
  <si>
    <t xml:space="preserve">GWP-L3-650</t>
  </si>
  <si>
    <t xml:space="preserve">GWP.05.06</t>
  </si>
  <si>
    <t xml:space="preserve">   Process equipment: tender &amp; evaluation (trommel, conveyors, shredder, baler)</t>
  </si>
  <si>
    <t xml:space="preserve">GWP-L3-540 FS</t>
  </si>
  <si>
    <t xml:space="preserve">GWP-L3-660</t>
  </si>
  <si>
    <t xml:space="preserve">GWP.05.07</t>
  </si>
  <si>
    <t xml:space="preserve">   Process equipment: negotiation &amp; purchase order</t>
  </si>
  <si>
    <t xml:space="preserve">GWP-L3-650 FS</t>
  </si>
  <si>
    <t xml:space="preserve">GWP-L3-670</t>
  </si>
  <si>
    <t xml:space="preserve">GWP.05.08</t>
  </si>
  <si>
    <t xml:space="preserve">   Composting equipment: tender, evaluation &amp; purchase order</t>
  </si>
  <si>
    <t xml:space="preserve">GWP-L3-680</t>
  </si>
  <si>
    <t xml:space="preserve">GWP.05.09</t>
  </si>
  <si>
    <t xml:space="preserve">   ETP skid &amp; pumps: tender, evaluation &amp; purchase order</t>
  </si>
  <si>
    <t xml:space="preserve">GWP-L3-570 FS</t>
  </si>
  <si>
    <t xml:space="preserve">GWP-L3-690</t>
  </si>
  <si>
    <t xml:space="preserve">GWP.05.10</t>
  </si>
  <si>
    <t xml:space="preserve">   Electrical equipment (transformer, HT/LT panels, DG): tender, evaluation &amp; PO</t>
  </si>
  <si>
    <t xml:space="preserve">GWP-L3-695</t>
  </si>
  <si>
    <t xml:space="preserve">GWP.05.11</t>
  </si>
  <si>
    <t xml:space="preserve">   PLC/SCADA &amp; instruments: tender, evaluation &amp; PO</t>
  </si>
  <si>
    <t xml:space="preserve">GWP-L3-560 FS</t>
  </si>
  <si>
    <t xml:space="preserve">GWP-PH-6</t>
  </si>
  <si>
    <t xml:space="preserve">GWP.06</t>
  </si>
  <si>
    <t xml:space="preserve">Equipment Manufacture, Inspection &amp; Delivery</t>
  </si>
  <si>
    <t xml:space="preserve">GWP-L3-810</t>
  </si>
  <si>
    <t xml:space="preserve">GWP.06.01</t>
  </si>
  <si>
    <t xml:space="preserve">   Manufacture &amp; factory inspection (FAT): Trommel, conveyors, feed hopper &amp; weighbridge</t>
  </si>
  <si>
    <t xml:space="preserve">Supplier</t>
  </si>
  <si>
    <t xml:space="preserve">GWP-L3-815</t>
  </si>
  <si>
    <t xml:space="preserve">GWP.06.02</t>
  </si>
  <si>
    <t xml:space="preserve">   Dispatch &amp; delivery at site: Trommel, conveyors, feed hopper &amp; weighbridge</t>
  </si>
  <si>
    <t xml:space="preserve">GWP-L3-810 FS</t>
  </si>
  <si>
    <t xml:space="preserve">GWP-L3-820</t>
  </si>
  <si>
    <t xml:space="preserve">GWP.06.03</t>
  </si>
  <si>
    <t xml:space="preserve">   Manufacture &amp; factory inspection (FAT): Shredder &amp; baling press</t>
  </si>
  <si>
    <t xml:space="preserve">GWP-L3-825</t>
  </si>
  <si>
    <t xml:space="preserve">GWP.06.04</t>
  </si>
  <si>
    <t xml:space="preserve">   Dispatch &amp; delivery at site: Shredder &amp; baling press</t>
  </si>
  <si>
    <t xml:space="preserve">GWP-L3-820 FS</t>
  </si>
  <si>
    <t xml:space="preserve">GWP-L3-830</t>
  </si>
  <si>
    <t xml:space="preserve">GWP.06.05</t>
  </si>
  <si>
    <t xml:space="preserve">   Manufacture &amp; factory inspection (FAT): Composting equipment (blowers, turner, screen)</t>
  </si>
  <si>
    <t xml:space="preserve">GWP-L3-670 FS</t>
  </si>
  <si>
    <t xml:space="preserve">GWP-L3-835</t>
  </si>
  <si>
    <t xml:space="preserve">GWP.06.06</t>
  </si>
  <si>
    <t xml:space="preserve">   Dispatch &amp; delivery at site: Composting equipment (blowers, turner, screen)</t>
  </si>
  <si>
    <t xml:space="preserve">GWP-L3-830 FS</t>
  </si>
  <si>
    <t xml:space="preserve">GWP-L3-840</t>
  </si>
  <si>
    <t xml:space="preserve">GWP.06.07</t>
  </si>
  <si>
    <t xml:space="preserve">   Manufacture &amp; factory inspection (FAT): ETP skid, leachate &amp; fire water pumps</t>
  </si>
  <si>
    <t xml:space="preserve">GWP-L3-680 FS</t>
  </si>
  <si>
    <t xml:space="preserve">GWP-L3-845</t>
  </si>
  <si>
    <t xml:space="preserve">GWP.06.08</t>
  </si>
  <si>
    <t xml:space="preserve">   Dispatch &amp; delivery at site: ETP skid, leachate &amp; fire water pumps</t>
  </si>
  <si>
    <t xml:space="preserve">GWP-L3-840 FS</t>
  </si>
  <si>
    <t xml:space="preserve">GWP-L3-850</t>
  </si>
  <si>
    <t xml:space="preserve">GWP.06.09</t>
  </si>
  <si>
    <t xml:space="preserve">   Manufacture &amp; factory inspection (FAT): Transformer, HT/LT panels &amp; DG set</t>
  </si>
  <si>
    <t xml:space="preserve">GWP-L3-690 FS</t>
  </si>
  <si>
    <t xml:space="preserve">GWP-L3-855</t>
  </si>
  <si>
    <t xml:space="preserve">GWP.06.10</t>
  </si>
  <si>
    <t xml:space="preserve">   Dispatch &amp; delivery at site: Transformer, HT/LT panels &amp; DG set</t>
  </si>
  <si>
    <t xml:space="preserve">GWP-L3-850 FS</t>
  </si>
  <si>
    <t xml:space="preserve">GWP-L3-860</t>
  </si>
  <si>
    <t xml:space="preserve">GWP.06.11</t>
  </si>
  <si>
    <t xml:space="preserve">   Manufacture &amp; factory inspection (FAT): PLC/SCADA panels &amp; field instruments</t>
  </si>
  <si>
    <t xml:space="preserve">GWP-L3-695 FS</t>
  </si>
  <si>
    <t xml:space="preserve">GWP-L3-865</t>
  </si>
  <si>
    <t xml:space="preserve">GWP.06.12</t>
  </si>
  <si>
    <t xml:space="preserve">   Dispatch &amp; delivery at site: PLC/SCADA panels &amp; field instruments</t>
  </si>
  <si>
    <t xml:space="preserve">GWP-L3-860 FS</t>
  </si>
  <si>
    <t xml:space="preserve">GWP-PH-7</t>
  </si>
  <si>
    <t xml:space="preserve">GWP.07</t>
  </si>
  <si>
    <t xml:space="preserve">Construction (Contractor Package)</t>
  </si>
  <si>
    <t xml:space="preserve">GWP-L3-000</t>
  </si>
  <si>
    <t xml:space="preserve">GWP.07.01</t>
  </si>
  <si>
    <t xml:space="preserve">   Site handover to construction contractor</t>
  </si>
  <si>
    <t xml:space="preserve">GWP-L3-640 FS; GWP-L3-370 FS; GWP-L3-270 FS; GWP-L3-450 FS; GWP-L3-320 FS; GWP-L3-330 FS</t>
  </si>
  <si>
    <t xml:space="preserve">GWP-L3-010</t>
  </si>
  <si>
    <t xml:space="preserve">GWP.07.02</t>
  </si>
  <si>
    <t xml:space="preserve">   Site Mobilisation &amp; Temporary Facilities</t>
  </si>
  <si>
    <t xml:space="preserve">Fixed link</t>
  </si>
  <si>
    <t xml:space="preserve">Construction contractor</t>
  </si>
  <si>
    <t xml:space="preserve">Fixed: taken from L4-L6 Schedule workbook</t>
  </si>
  <si>
    <t xml:space="preserve">GWP-L3-020</t>
  </si>
  <si>
    <t xml:space="preserve">GWP.07.03</t>
  </si>
  <si>
    <t xml:space="preserve">   Site Development &amp; Enabling Works</t>
  </si>
  <si>
    <t xml:space="preserve">GWP-L3-030</t>
  </si>
  <si>
    <t xml:space="preserve">GWP.07.04</t>
  </si>
  <si>
    <t xml:space="preserve">   Civil Works - Process Buildings</t>
  </si>
  <si>
    <t xml:space="preserve">GWP-L3-040</t>
  </si>
  <si>
    <t xml:space="preserve">GWP.07.05</t>
  </si>
  <si>
    <t xml:space="preserve">   Civil Works - Composting Yard, RDF Shed &amp; Leachate Tanks</t>
  </si>
  <si>
    <t xml:space="preserve">GWP-L3-050</t>
  </si>
  <si>
    <t xml:space="preserve">GWP.07.06</t>
  </si>
  <si>
    <t xml:space="preserve">   Civil Works - Administration &amp; Utility Buildings</t>
  </si>
  <si>
    <t xml:space="preserve">GWP-L3-060</t>
  </si>
  <si>
    <t xml:space="preserve">GWP.07.07</t>
  </si>
  <si>
    <t xml:space="preserve">   Structural Steel Fabrication &amp; Erection</t>
  </si>
  <si>
    <t xml:space="preserve">GWP-L3-070</t>
  </si>
  <si>
    <t xml:space="preserve">GWP.07.08</t>
  </si>
  <si>
    <t xml:space="preserve">   Mechanical Equipment Erection</t>
  </si>
  <si>
    <t xml:space="preserve">GWP-L3-080</t>
  </si>
  <si>
    <t xml:space="preserve">GWP.07.09</t>
  </si>
  <si>
    <t xml:space="preserve">   Piping, Fire Water &amp; ETP Mechanical Works</t>
  </si>
  <si>
    <t xml:space="preserve">GWP-L3-090</t>
  </si>
  <si>
    <t xml:space="preserve">GWP.07.10</t>
  </si>
  <si>
    <t xml:space="preserve">   Electrical Installation</t>
  </si>
  <si>
    <t xml:space="preserve">GWP-L3-100</t>
  </si>
  <si>
    <t xml:space="preserve">GWP.07.11</t>
  </si>
  <si>
    <t xml:space="preserve">   Instrumentation &amp; Automation Installation</t>
  </si>
  <si>
    <t xml:space="preserve">GWP-L3-110</t>
  </si>
  <si>
    <t xml:space="preserve">GWP.07.12</t>
  </si>
  <si>
    <t xml:space="preserve">   Construction Inspection, Testing &amp; Mechanical Completion</t>
  </si>
  <si>
    <t xml:space="preserve">GWP-L3-120</t>
  </si>
  <si>
    <t xml:space="preserve">GWP.07.13</t>
  </si>
  <si>
    <t xml:space="preserve">   PMC site supervision, quality surveillance &amp; progress monitoring</t>
  </si>
  <si>
    <t xml:space="preserve">GWP-L3-000 SS; finishes with GWP-L3-110</t>
  </si>
  <si>
    <t xml:space="preserve">GWP-PH-8</t>
  </si>
  <si>
    <t xml:space="preserve">GWP.08</t>
  </si>
  <si>
    <t xml:space="preserve">Completion, Pre-commissioning &amp; Commissioning</t>
  </si>
  <si>
    <t xml:space="preserve">GWP-L3-900</t>
  </si>
  <si>
    <t xml:space="preserve">GWP.08.01</t>
  </si>
  <si>
    <t xml:space="preserve">   Mechanical Completion of plant (all packages)</t>
  </si>
  <si>
    <t xml:space="preserve">PMC / Contractor</t>
  </si>
  <si>
    <t xml:space="preserve">GWP-L3-110 FS; GWP-L3-815 FS; GWP-L3-825 FS; GWP-L3-835 FS; GWP-L3-845 FS; GWP-L3-855 FS; GWP-L3-865 FS</t>
  </si>
  <si>
    <t xml:space="preserve">GWP-L3-905</t>
  </si>
  <si>
    <t xml:space="preserve">GWP.08.02</t>
  </si>
  <si>
    <t xml:space="preserve">   Grid power charging &amp; HT energisation</t>
  </si>
  <si>
    <t xml:space="preserve">GWP-L3-385 FS; GWP-L3-420 FS</t>
  </si>
  <si>
    <t xml:space="preserve">GWP-L3-910</t>
  </si>
  <si>
    <t xml:space="preserve">GWP.08.03</t>
  </si>
  <si>
    <t xml:space="preserve">   Pre-commissioning: flushing, cold runs, loop simulation &amp; power-on</t>
  </si>
  <si>
    <t xml:space="preserve">Contractor / Suppliers</t>
  </si>
  <si>
    <t xml:space="preserve">GWP-L3-900 FS; GWP-L3-905 FS; GWP-L3-440 FS; GWP-L3-480 FS</t>
  </si>
  <si>
    <t xml:space="preserve">GWP-L3-930</t>
  </si>
  <si>
    <t xml:space="preserve">GWP.08.04</t>
  </si>
  <si>
    <t xml:space="preserve">   Vendor commissioning support &amp; operator training</t>
  </si>
  <si>
    <t xml:space="preserve">Suppliers</t>
  </si>
  <si>
    <t xml:space="preserve">GWP-L3-910 SS+10</t>
  </si>
  <si>
    <t xml:space="preserve">GWP-L3-940</t>
  </si>
  <si>
    <t xml:space="preserve">GWP.08.05</t>
  </si>
  <si>
    <t xml:space="preserve">   Hot commissioning: waste feed start-up &amp; stabilisation</t>
  </si>
  <si>
    <t xml:space="preserve">GWP-L3-910 FS; GWP-L3-380 FS; GWP-L3-460 FS; GWP-L3-390 FS</t>
  </si>
  <si>
    <t xml:space="preserve">GWP-L3-950</t>
  </si>
  <si>
    <t xml:space="preserve">GWP.08.06</t>
  </si>
  <si>
    <t xml:space="preserve">   Performance guarantee test run at rated capacity</t>
  </si>
  <si>
    <t xml:space="preserve">GWP-L3-940 FS</t>
  </si>
  <si>
    <t xml:space="preserve">GWP-L3-960</t>
  </si>
  <si>
    <t xml:space="preserve">GWP.08.07</t>
  </si>
  <si>
    <t xml:space="preserve">   As-built drawings, O&amp;M manuals &amp; test records dossier</t>
  </si>
  <si>
    <t xml:space="preserve">GWP-L3-940 SS+10</t>
  </si>
  <si>
    <t xml:space="preserve">GWP-L3-970</t>
  </si>
  <si>
    <t xml:space="preserve">GWP.08.08</t>
  </si>
  <si>
    <t xml:space="preserve">   Commissioning acceptance &amp; handover to operations</t>
  </si>
  <si>
    <t xml:space="preserve">GWP-L3-950 FS; GWP-L3-960 FS; GWP-L3-930 FS</t>
  </si>
  <si>
    <t xml:space="preserve">Key Dates and Consistency Checks</t>
  </si>
  <si>
    <t xml:space="preserve">All dates are looked up from the L3 Schedule sheet.</t>
  </si>
  <si>
    <t xml:space="preserve">Date</t>
  </si>
  <si>
    <t xml:space="preserve">Basis</t>
  </si>
  <si>
    <t xml:space="preserve">Investment approval</t>
  </si>
  <si>
    <t xml:space="preserve">Finish</t>
  </si>
  <si>
    <t xml:space="preserve">Land possession achieved</t>
  </si>
  <si>
    <t xml:space="preserve">Consent to Establish granted</t>
  </si>
  <si>
    <t xml:space="preserve">Letter of Award to construction contractor</t>
  </si>
  <si>
    <t xml:space="preserve">Contract signed</t>
  </si>
  <si>
    <t xml:space="preserve">Site handover to contractor</t>
  </si>
  <si>
    <t xml:space="preserve">Start</t>
  </si>
  <si>
    <t xml:space="preserve">Structural steel IFC drawings released</t>
  </si>
  <si>
    <t xml:space="preserve">Delivery at site: trommel, conveyors, feed hopper, weighbridge</t>
  </si>
  <si>
    <t xml:space="preserve">Delivery at site: shredder &amp; baling press</t>
  </si>
  <si>
    <t xml:space="preserve">Delivery at site: composting equipment</t>
  </si>
  <si>
    <t xml:space="preserve">Delivery at site: ETP skid &amp; pumps</t>
  </si>
  <si>
    <t xml:space="preserve">Delivery at site: transformer, panels, DG</t>
  </si>
  <si>
    <t xml:space="preserve">Delivery at site: PLC/SCADA &amp; instruments</t>
  </si>
  <si>
    <t xml:space="preserve">Mechanical Completion</t>
  </si>
  <si>
    <t xml:space="preserve">Grid power charged</t>
  </si>
  <si>
    <t xml:space="preserve">Consent to Operate obtained</t>
  </si>
  <si>
    <t xml:space="preserve">Pre-commissioning complete</t>
  </si>
  <si>
    <t xml:space="preserve">Commissioning acceptance &amp; handover</t>
  </si>
  <si>
    <t xml:space="preserve">Checks</t>
  </si>
  <si>
    <t xml:space="preserve">Handover date required by contractor L4-L6 schedule</t>
  </si>
  <si>
    <t xml:space="preserve">Site handover date in this L3 schedule</t>
  </si>
  <si>
    <t xml:space="preserve">Handover check</t>
  </si>
  <si>
    <t xml:space="preserve">Months from approval to commissioning acceptance</t>
  </si>
  <si>
    <t xml:space="preserve">Working days of float to 31-Dec-2028 target</t>
  </si>
  <si>
    <t xml:space="preserve">Handover required date is the "Site handover" input of the L4-L6 Schedule workbook (Assumptions sheet). Update both if you change it.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</si>
</sst>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"/>
    <numFmt numFmtId="166" formatCode="0"/>
    <numFmt numFmtId="167" formatCode="dd\-mmm\-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99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1F3864"/>
        </patternFill>
      </fill>
    </dxf>
    <dxf>
      <fill>
        <patternFill>
          <bgColor rgb="FF70AD47"/>
        </patternFill>
      </fill>
    </dxf>
    <dxf>
      <fill>
        <patternFill>
          <bgColor rgb="FFC00000"/>
        </patternFill>
      </fill>
    </dxf>
    <dxf>
      <fill>
        <patternFill>
          <bgColor rgb="FF5B9BD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2"/>
  </cols>
  <sheetData>
    <row r="1" customFormat="false" ht="17.35" hidden="false" customHeight="false" outlineLevel="0" collapsed="false">
      <c r="A1" s="2" t="s">
        <v>0</v>
      </c>
    </row>
    <row r="3" customFormat="false" ht="48.75" hidden="false" customHeight="true" outlineLevel="0" collapsed="false">
      <c r="A3" s="3" t="s">
        <v>1</v>
      </c>
      <c r="B3" s="4" t="s">
        <v>2</v>
      </c>
    </row>
    <row r="4" customFormat="false" ht="33.75" hidden="false" customHeight="true" outlineLevel="0" collapsed="false">
      <c r="A4" s="3" t="s">
        <v>3</v>
      </c>
      <c r="B4" s="4" t="s">
        <v>4</v>
      </c>
    </row>
    <row r="5" customFormat="false" ht="48.75" hidden="false" customHeight="true" outlineLevel="0" collapsed="false">
      <c r="A5" s="3" t="s">
        <v>5</v>
      </c>
      <c r="B5" s="4" t="s">
        <v>6</v>
      </c>
    </row>
    <row r="6" customFormat="false" ht="63.75" hidden="false" customHeight="true" outlineLevel="0" collapsed="false">
      <c r="A6" s="3" t="s">
        <v>7</v>
      </c>
      <c r="B6" s="4" t="s">
        <v>8</v>
      </c>
    </row>
    <row r="7" customFormat="false" ht="48.75" hidden="false" customHeight="true" outlineLevel="0" collapsed="false">
      <c r="A7" s="3" t="s">
        <v>9</v>
      </c>
      <c r="B7" s="4" t="s">
        <v>10</v>
      </c>
    </row>
    <row r="8" customFormat="false" ht="48.75" hidden="false" customHeight="true" outlineLevel="0" collapsed="false">
      <c r="A8" s="3" t="s">
        <v>11</v>
      </c>
      <c r="B8" s="4" t="s">
        <v>12</v>
      </c>
    </row>
    <row r="9" customFormat="false" ht="33.75" hidden="false" customHeight="true" outlineLevel="0" collapsed="false">
      <c r="A9" s="3" t="s">
        <v>13</v>
      </c>
      <c r="B9" s="4" t="s">
        <v>14</v>
      </c>
    </row>
    <row r="10" customFormat="false" ht="33.75" hidden="false" customHeight="true" outlineLevel="0" collapsed="false">
      <c r="A10" s="3" t="s">
        <v>15</v>
      </c>
      <c r="B10" s="4" t="s">
        <v>16</v>
      </c>
    </row>
    <row r="11" customFormat="false" ht="33.75" hidden="false" customHeight="true" outlineLevel="0" collapsed="false">
      <c r="A11" s="3" t="s">
        <v>17</v>
      </c>
      <c r="B11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7"/>
    <col collapsed="false" customWidth="true" hidden="false" outlineLevel="0" max="4" min="4" style="1" width="62"/>
    <col collapsed="false" customWidth="true" hidden="false" outlineLevel="0" max="5" min="5" style="1" width="11"/>
    <col collapsed="false" customWidth="true" hidden="false" outlineLevel="0" max="6" min="6" style="1" width="22"/>
    <col collapsed="false" customWidth="true" hidden="false" outlineLevel="0" max="7" min="7" style="1" width="10"/>
    <col collapsed="false" customWidth="true" hidden="false" outlineLevel="0" max="8" min="8" style="1" width="36"/>
    <col collapsed="false" customWidth="true" hidden="false" outlineLevel="0" max="10" min="9" style="1" width="12"/>
    <col collapsed="false" customWidth="true" hidden="false" outlineLevel="0" max="34" min="11" style="1" width="7.61"/>
  </cols>
  <sheetData>
    <row r="1" customFormat="false" ht="17.35" hidden="false" customHeight="false" outlineLevel="0" collapsed="false">
      <c r="A1" s="2" t="s">
        <v>19</v>
      </c>
    </row>
    <row r="2" customFormat="false" ht="15" hidden="false" customHeight="false" outlineLevel="0" collapsed="false">
      <c r="A2" s="5" t="s">
        <v>20</v>
      </c>
    </row>
    <row r="5" customFormat="false" ht="42" hidden="false" customHeight="true" outlineLevel="0" collapsed="false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28</v>
      </c>
      <c r="I5" s="6" t="s">
        <v>29</v>
      </c>
      <c r="J5" s="6" t="s">
        <v>30</v>
      </c>
      <c r="K5" s="7" t="n">
        <v>46388</v>
      </c>
      <c r="L5" s="7" t="n">
        <f aca="false">EDATE(K5,1)</f>
        <v>46419</v>
      </c>
      <c r="M5" s="7" t="n">
        <f aca="false">EDATE(L5,1)</f>
        <v>46447</v>
      </c>
      <c r="N5" s="7" t="n">
        <f aca="false">EDATE(M5,1)</f>
        <v>46478</v>
      </c>
      <c r="O5" s="7" t="n">
        <f aca="false">EDATE(N5,1)</f>
        <v>46508</v>
      </c>
      <c r="P5" s="7" t="n">
        <f aca="false">EDATE(O5,1)</f>
        <v>46539</v>
      </c>
      <c r="Q5" s="7" t="n">
        <f aca="false">EDATE(P5,1)</f>
        <v>46569</v>
      </c>
      <c r="R5" s="7" t="n">
        <f aca="false">EDATE(Q5,1)</f>
        <v>46600</v>
      </c>
      <c r="S5" s="7" t="n">
        <f aca="false">EDATE(R5,1)</f>
        <v>46631</v>
      </c>
      <c r="T5" s="7" t="n">
        <f aca="false">EDATE(S5,1)</f>
        <v>46661</v>
      </c>
      <c r="U5" s="7" t="n">
        <f aca="false">EDATE(T5,1)</f>
        <v>46692</v>
      </c>
      <c r="V5" s="7" t="n">
        <f aca="false">EDATE(U5,1)</f>
        <v>46722</v>
      </c>
      <c r="W5" s="7" t="n">
        <f aca="false">EDATE(V5,1)</f>
        <v>46753</v>
      </c>
      <c r="X5" s="7" t="n">
        <f aca="false">EDATE(W5,1)</f>
        <v>46784</v>
      </c>
      <c r="Y5" s="7" t="n">
        <f aca="false">EDATE(X5,1)</f>
        <v>46813</v>
      </c>
      <c r="Z5" s="7" t="n">
        <f aca="false">EDATE(Y5,1)</f>
        <v>46844</v>
      </c>
      <c r="AA5" s="7" t="n">
        <f aca="false">EDATE(Z5,1)</f>
        <v>46874</v>
      </c>
      <c r="AB5" s="7" t="n">
        <f aca="false">EDATE(AA5,1)</f>
        <v>46905</v>
      </c>
      <c r="AC5" s="7" t="n">
        <f aca="false">EDATE(AB5,1)</f>
        <v>46935</v>
      </c>
      <c r="AD5" s="7" t="n">
        <f aca="false">EDATE(AC5,1)</f>
        <v>46966</v>
      </c>
      <c r="AE5" s="7" t="n">
        <f aca="false">EDATE(AD5,1)</f>
        <v>46997</v>
      </c>
      <c r="AF5" s="7" t="n">
        <f aca="false">EDATE(AE5,1)</f>
        <v>47027</v>
      </c>
      <c r="AG5" s="7" t="n">
        <f aca="false">EDATE(AF5,1)</f>
        <v>47058</v>
      </c>
      <c r="AH5" s="7" t="n">
        <f aca="false">EDATE(AG5,1)</f>
        <v>47088</v>
      </c>
    </row>
    <row r="6" customFormat="false" ht="15" hidden="false" customHeight="false" outlineLevel="0" collapsed="false">
      <c r="A6" s="8" t="s">
        <v>31</v>
      </c>
      <c r="B6" s="8" t="s">
        <v>32</v>
      </c>
      <c r="C6" s="8" t="s">
        <v>33</v>
      </c>
      <c r="D6" s="8" t="s">
        <v>34</v>
      </c>
      <c r="E6" s="9"/>
      <c r="F6" s="9"/>
      <c r="G6" s="10" t="n">
        <f aca="false">NETWORKDAYS.INTL(I6,J6,11)</f>
        <v>106</v>
      </c>
      <c r="H6" s="9"/>
      <c r="I6" s="11" t="n">
        <f aca="false">MIN(I7:I16)</f>
        <v>46388</v>
      </c>
      <c r="J6" s="11" t="n">
        <f aca="false">MAX(J7:J16)</f>
        <v>46511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customFormat="false" ht="15" hidden="false" customHeight="false" outlineLevel="0" collapsed="false">
      <c r="A7" s="13" t="s">
        <v>35</v>
      </c>
      <c r="B7" s="13" t="s">
        <v>36</v>
      </c>
      <c r="C7" s="14" t="s">
        <v>37</v>
      </c>
      <c r="D7" s="15" t="s">
        <v>38</v>
      </c>
      <c r="E7" s="13" t="s">
        <v>39</v>
      </c>
      <c r="F7" s="13" t="s">
        <v>40</v>
      </c>
      <c r="G7" s="16" t="n">
        <v>0</v>
      </c>
      <c r="H7" s="13" t="s">
        <v>41</v>
      </c>
      <c r="I7" s="17" t="n">
        <v>46388</v>
      </c>
      <c r="J7" s="18" t="n">
        <f aca="false">I7</f>
        <v>46388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 customFormat="false" ht="15" hidden="false" customHeight="false" outlineLevel="0" collapsed="false">
      <c r="A8" s="13" t="s">
        <v>42</v>
      </c>
      <c r="B8" s="13" t="s">
        <v>43</v>
      </c>
      <c r="C8" s="14" t="s">
        <v>37</v>
      </c>
      <c r="D8" s="15" t="s">
        <v>44</v>
      </c>
      <c r="E8" s="13" t="s">
        <v>45</v>
      </c>
      <c r="F8" s="13" t="s">
        <v>40</v>
      </c>
      <c r="G8" s="16" t="n">
        <v>40</v>
      </c>
      <c r="H8" s="15" t="s">
        <v>46</v>
      </c>
      <c r="I8" s="18" t="n">
        <f aca="false">IF($G8=0,J7,WORKDAY.INTL(J7,1,11))</f>
        <v>46389</v>
      </c>
      <c r="J8" s="18" t="n">
        <f aca="false">IF(G8=0,I8,WORKDAY.INTL(I8,G8-1,11))</f>
        <v>46435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 customFormat="false" ht="15" hidden="false" customHeight="false" outlineLevel="0" collapsed="false">
      <c r="A9" s="13" t="s">
        <v>47</v>
      </c>
      <c r="B9" s="13" t="s">
        <v>48</v>
      </c>
      <c r="C9" s="14" t="s">
        <v>37</v>
      </c>
      <c r="D9" s="15" t="s">
        <v>49</v>
      </c>
      <c r="E9" s="13" t="s">
        <v>45</v>
      </c>
      <c r="F9" s="13" t="s">
        <v>40</v>
      </c>
      <c r="G9" s="16" t="n">
        <v>20</v>
      </c>
      <c r="H9" s="15" t="s">
        <v>50</v>
      </c>
      <c r="I9" s="18" t="n">
        <f aca="false">IF($G9=0,J8,WORKDAY.INTL(J8,1,11))</f>
        <v>46436</v>
      </c>
      <c r="J9" s="18" t="n">
        <f aca="false">IF(G9=0,I9,WORKDAY.INTL(I9,G9-1,11))</f>
        <v>46458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 customFormat="false" ht="15" hidden="false" customHeight="false" outlineLevel="0" collapsed="false">
      <c r="A10" s="13" t="s">
        <v>51</v>
      </c>
      <c r="B10" s="13" t="s">
        <v>52</v>
      </c>
      <c r="C10" s="14" t="s">
        <v>37</v>
      </c>
      <c r="D10" s="15" t="s">
        <v>53</v>
      </c>
      <c r="E10" s="13" t="s">
        <v>45</v>
      </c>
      <c r="F10" s="13" t="s">
        <v>40</v>
      </c>
      <c r="G10" s="16" t="n">
        <v>20</v>
      </c>
      <c r="H10" s="15" t="s">
        <v>46</v>
      </c>
      <c r="I10" s="18" t="n">
        <f aca="false">IF($G10=0,J7,WORKDAY.INTL(J7,1,11))</f>
        <v>46389</v>
      </c>
      <c r="J10" s="18" t="n">
        <f aca="false">IF(G10=0,I10,WORKDAY.INTL(I10,G10-1,11))</f>
        <v>46412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customFormat="false" ht="15" hidden="false" customHeight="false" outlineLevel="0" collapsed="false">
      <c r="A11" s="13" t="s">
        <v>54</v>
      </c>
      <c r="B11" s="13" t="s">
        <v>55</v>
      </c>
      <c r="C11" s="14" t="s">
        <v>37</v>
      </c>
      <c r="D11" s="15" t="s">
        <v>56</v>
      </c>
      <c r="E11" s="13" t="s">
        <v>45</v>
      </c>
      <c r="F11" s="13" t="s">
        <v>40</v>
      </c>
      <c r="G11" s="16" t="n">
        <v>15</v>
      </c>
      <c r="H11" s="15" t="s">
        <v>57</v>
      </c>
      <c r="I11" s="18" t="n">
        <f aca="false">IF($G11=0,J10,WORKDAY.INTL(J10,1,11))</f>
        <v>46413</v>
      </c>
      <c r="J11" s="18" t="n">
        <f aca="false">IF(G11=0,I11,WORKDAY.INTL(I11,G11-1,11))</f>
        <v>46429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customFormat="false" ht="15" hidden="false" customHeight="false" outlineLevel="0" collapsed="false">
      <c r="A12" s="13" t="s">
        <v>58</v>
      </c>
      <c r="B12" s="13" t="s">
        <v>59</v>
      </c>
      <c r="C12" s="14" t="s">
        <v>37</v>
      </c>
      <c r="D12" s="15" t="s">
        <v>60</v>
      </c>
      <c r="E12" s="13" t="s">
        <v>45</v>
      </c>
      <c r="F12" s="13" t="s">
        <v>40</v>
      </c>
      <c r="G12" s="16" t="n">
        <v>25</v>
      </c>
      <c r="H12" s="15" t="s">
        <v>61</v>
      </c>
      <c r="I12" s="18" t="n">
        <f aca="false">IF($G12=0,J11,WORKDAY.INTL(J11,1,11))</f>
        <v>46430</v>
      </c>
      <c r="J12" s="18" t="n">
        <f aca="false">IF(G12=0,I12,WORKDAY.INTL(I12,G12-1,11))</f>
        <v>46458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customFormat="false" ht="15" hidden="false" customHeight="false" outlineLevel="0" collapsed="false">
      <c r="A13" s="13" t="s">
        <v>62</v>
      </c>
      <c r="B13" s="13" t="s">
        <v>63</v>
      </c>
      <c r="C13" s="14" t="s">
        <v>37</v>
      </c>
      <c r="D13" s="15" t="s">
        <v>64</v>
      </c>
      <c r="E13" s="13" t="s">
        <v>45</v>
      </c>
      <c r="F13" s="13" t="s">
        <v>40</v>
      </c>
      <c r="G13" s="16" t="n">
        <v>15</v>
      </c>
      <c r="H13" s="15" t="s">
        <v>65</v>
      </c>
      <c r="I13" s="18" t="n">
        <f aca="false">IF($G13=0,J12,WORKDAY.INTL(J12,1,11))</f>
        <v>46459</v>
      </c>
      <c r="J13" s="18" t="n">
        <f aca="false">IF(G13=0,I13,WORKDAY.INTL(I13,G13-1,11))</f>
        <v>46476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 customFormat="false" ht="15" hidden="false" customHeight="false" outlineLevel="0" collapsed="false">
      <c r="A14" s="13" t="s">
        <v>66</v>
      </c>
      <c r="B14" s="13" t="s">
        <v>67</v>
      </c>
      <c r="C14" s="14" t="s">
        <v>37</v>
      </c>
      <c r="D14" s="15" t="s">
        <v>68</v>
      </c>
      <c r="E14" s="13" t="s">
        <v>45</v>
      </c>
      <c r="F14" s="13" t="s">
        <v>40</v>
      </c>
      <c r="G14" s="16" t="n">
        <v>5</v>
      </c>
      <c r="H14" s="15" t="s">
        <v>69</v>
      </c>
      <c r="I14" s="18" t="n">
        <f aca="false">IF($G14=0,J13,WORKDAY.INTL(J13,1,11))</f>
        <v>46477</v>
      </c>
      <c r="J14" s="18" t="n">
        <f aca="false">IF(G14=0,I14,WORKDAY.INTL(I14,G14-1,11))</f>
        <v>46482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customFormat="false" ht="15" hidden="false" customHeight="false" outlineLevel="0" collapsed="false">
      <c r="A15" s="13" t="s">
        <v>70</v>
      </c>
      <c r="B15" s="13" t="s">
        <v>71</v>
      </c>
      <c r="C15" s="14" t="s">
        <v>37</v>
      </c>
      <c r="D15" s="15" t="s">
        <v>72</v>
      </c>
      <c r="E15" s="13" t="s">
        <v>45</v>
      </c>
      <c r="F15" s="13" t="s">
        <v>73</v>
      </c>
      <c r="G15" s="16" t="n">
        <v>10</v>
      </c>
      <c r="H15" s="15" t="s">
        <v>74</v>
      </c>
      <c r="I15" s="18" t="n">
        <f aca="false">IF($G15=0,J14,WORKDAY.INTL(J14,1,11))</f>
        <v>46483</v>
      </c>
      <c r="J15" s="18" t="n">
        <f aca="false">IF(G15=0,I15,WORKDAY.INTL(I15,G15-1,11))</f>
        <v>46493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customFormat="false" ht="15" hidden="false" customHeight="false" outlineLevel="0" collapsed="false">
      <c r="A16" s="13" t="s">
        <v>75</v>
      </c>
      <c r="B16" s="13" t="s">
        <v>76</v>
      </c>
      <c r="C16" s="14" t="s">
        <v>37</v>
      </c>
      <c r="D16" s="15" t="s">
        <v>77</v>
      </c>
      <c r="E16" s="13" t="s">
        <v>45</v>
      </c>
      <c r="F16" s="13" t="s">
        <v>73</v>
      </c>
      <c r="G16" s="16" t="n">
        <v>25</v>
      </c>
      <c r="H16" s="15" t="s">
        <v>74</v>
      </c>
      <c r="I16" s="18" t="n">
        <f aca="false">IF($G16=0,J14,WORKDAY.INTL(J14,1,11))</f>
        <v>46483</v>
      </c>
      <c r="J16" s="18" t="n">
        <f aca="false">IF(G16=0,I16,WORKDAY.INTL(I16,G16-1,11))</f>
        <v>46511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customFormat="false" ht="15" hidden="false" customHeight="false" outlineLevel="0" collapsed="false">
      <c r="A17" s="8" t="s">
        <v>78</v>
      </c>
      <c r="B17" s="8" t="s">
        <v>79</v>
      </c>
      <c r="C17" s="8" t="s">
        <v>33</v>
      </c>
      <c r="D17" s="8" t="s">
        <v>80</v>
      </c>
      <c r="E17" s="9"/>
      <c r="F17" s="9"/>
      <c r="G17" s="10" t="n">
        <f aca="false">NETWORKDAYS.INTL(I17,J17,11)</f>
        <v>515</v>
      </c>
      <c r="H17" s="9"/>
      <c r="I17" s="11" t="n">
        <f aca="false">MIN(I18:I28)</f>
        <v>46389</v>
      </c>
      <c r="J17" s="11" t="n">
        <f aca="false">MAX(J18:J28)</f>
        <v>46989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customFormat="false" ht="15" hidden="false" customHeight="false" outlineLevel="0" collapsed="false">
      <c r="A18" s="13" t="s">
        <v>81</v>
      </c>
      <c r="B18" s="13" t="s">
        <v>82</v>
      </c>
      <c r="C18" s="14" t="s">
        <v>37</v>
      </c>
      <c r="D18" s="15" t="s">
        <v>83</v>
      </c>
      <c r="E18" s="13" t="s">
        <v>45</v>
      </c>
      <c r="F18" s="13" t="s">
        <v>73</v>
      </c>
      <c r="G18" s="16" t="n">
        <v>30</v>
      </c>
      <c r="H18" s="15" t="s">
        <v>46</v>
      </c>
      <c r="I18" s="18" t="n">
        <f aca="false">IF($G18=0,J7,WORKDAY.INTL(J7,1,11))</f>
        <v>46389</v>
      </c>
      <c r="J18" s="18" t="n">
        <f aca="false">IF(G18=0,I18,WORKDAY.INTL(I18,G18-1,11))</f>
        <v>46423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 customFormat="false" ht="15" hidden="false" customHeight="false" outlineLevel="0" collapsed="false">
      <c r="A19" s="13" t="s">
        <v>84</v>
      </c>
      <c r="B19" s="13" t="s">
        <v>85</v>
      </c>
      <c r="C19" s="14" t="s">
        <v>37</v>
      </c>
      <c r="D19" s="15" t="s">
        <v>86</v>
      </c>
      <c r="E19" s="13" t="s">
        <v>45</v>
      </c>
      <c r="F19" s="13" t="s">
        <v>40</v>
      </c>
      <c r="G19" s="16" t="n">
        <v>45</v>
      </c>
      <c r="H19" s="15" t="s">
        <v>87</v>
      </c>
      <c r="I19" s="18" t="n">
        <f aca="false">MAX(IF($G19=0,J12,WORKDAY.INTL(J12,1,11)),IF($G19=0,J18,WORKDAY.INTL(J18,1,11)))</f>
        <v>46459</v>
      </c>
      <c r="J19" s="18" t="n">
        <f aca="false">IF(G19=0,I19,WORKDAY.INTL(I19,G19-1,11))</f>
        <v>46511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 customFormat="false" ht="15" hidden="false" customHeight="false" outlineLevel="0" collapsed="false">
      <c r="A20" s="13" t="s">
        <v>88</v>
      </c>
      <c r="B20" s="13" t="s">
        <v>89</v>
      </c>
      <c r="C20" s="14" t="s">
        <v>37</v>
      </c>
      <c r="D20" s="15" t="s">
        <v>90</v>
      </c>
      <c r="E20" s="13" t="s">
        <v>45</v>
      </c>
      <c r="F20" s="13" t="s">
        <v>40</v>
      </c>
      <c r="G20" s="16" t="n">
        <v>60</v>
      </c>
      <c r="H20" s="15" t="s">
        <v>91</v>
      </c>
      <c r="I20" s="18" t="n">
        <f aca="false">IF($G20=0,J19,WORKDAY.INTL(J19,1,11))</f>
        <v>46512</v>
      </c>
      <c r="J20" s="18" t="n">
        <f aca="false">IF(G20=0,I20,WORKDAY.INTL(I20,G20-1,11))</f>
        <v>46581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customFormat="false" ht="15" hidden="false" customHeight="false" outlineLevel="0" collapsed="false">
      <c r="A21" s="13" t="s">
        <v>92</v>
      </c>
      <c r="B21" s="13" t="s">
        <v>93</v>
      </c>
      <c r="C21" s="14" t="s">
        <v>37</v>
      </c>
      <c r="D21" s="15" t="s">
        <v>94</v>
      </c>
      <c r="E21" s="13" t="s">
        <v>45</v>
      </c>
      <c r="F21" s="13" t="s">
        <v>40</v>
      </c>
      <c r="G21" s="16" t="n">
        <v>40</v>
      </c>
      <c r="H21" s="15" t="s">
        <v>95</v>
      </c>
      <c r="I21" s="18" t="n">
        <f aca="false">IF($G21=0,J41,WORKDAY.INTL(J41,1,11))</f>
        <v>46529</v>
      </c>
      <c r="J21" s="18" t="n">
        <f aca="false">IF(G21=0,I21,WORKDAY.INTL(I21,G21-1,11))</f>
        <v>46575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customFormat="false" ht="15" hidden="false" customHeight="false" outlineLevel="0" collapsed="false">
      <c r="A22" s="13" t="s">
        <v>96</v>
      </c>
      <c r="B22" s="13" t="s">
        <v>97</v>
      </c>
      <c r="C22" s="14" t="s">
        <v>37</v>
      </c>
      <c r="D22" s="15" t="s">
        <v>98</v>
      </c>
      <c r="E22" s="13" t="s">
        <v>45</v>
      </c>
      <c r="F22" s="13" t="s">
        <v>40</v>
      </c>
      <c r="G22" s="16" t="n">
        <v>30</v>
      </c>
      <c r="H22" s="15" t="s">
        <v>91</v>
      </c>
      <c r="I22" s="18" t="n">
        <f aca="false">IF($G22=0,J19,WORKDAY.INTL(J19,1,11))</f>
        <v>46512</v>
      </c>
      <c r="J22" s="18" t="n">
        <f aca="false">IF(G22=0,I22,WORKDAY.INTL(I22,G22-1,11))</f>
        <v>46546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customFormat="false" ht="15" hidden="false" customHeight="false" outlineLevel="0" collapsed="false">
      <c r="A23" s="13" t="s">
        <v>99</v>
      </c>
      <c r="B23" s="13" t="s">
        <v>100</v>
      </c>
      <c r="C23" s="14" t="s">
        <v>37</v>
      </c>
      <c r="D23" s="15" t="s">
        <v>101</v>
      </c>
      <c r="E23" s="13" t="s">
        <v>45</v>
      </c>
      <c r="F23" s="13" t="s">
        <v>40</v>
      </c>
      <c r="G23" s="16" t="n">
        <v>35</v>
      </c>
      <c r="H23" s="15" t="s">
        <v>102</v>
      </c>
      <c r="I23" s="18" t="n">
        <f aca="false">IF($G23=0,J45,WORKDAY.INTL(J45,1,11))</f>
        <v>46529</v>
      </c>
      <c r="J23" s="18" t="n">
        <f aca="false">IF(G23=0,I23,WORKDAY.INTL(I23,G23-1,11))</f>
        <v>46569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customFormat="false" ht="15" hidden="false" customHeight="false" outlineLevel="0" collapsed="false">
      <c r="A24" s="13" t="s">
        <v>103</v>
      </c>
      <c r="B24" s="13" t="s">
        <v>104</v>
      </c>
      <c r="C24" s="14" t="s">
        <v>37</v>
      </c>
      <c r="D24" s="15" t="s">
        <v>105</v>
      </c>
      <c r="E24" s="13" t="s">
        <v>45</v>
      </c>
      <c r="F24" s="13" t="s">
        <v>40</v>
      </c>
      <c r="G24" s="16" t="n">
        <v>30</v>
      </c>
      <c r="H24" s="15" t="s">
        <v>106</v>
      </c>
      <c r="I24" s="18" t="n">
        <f aca="false">IF($G24=0,J21,WORKDAY.INTL(J21,1,11))</f>
        <v>46576</v>
      </c>
      <c r="J24" s="18" t="n">
        <f aca="false">IF(G24=0,I24,WORKDAY.INTL(I24,G24-1,11))</f>
        <v>46610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customFormat="false" ht="15" hidden="false" customHeight="false" outlineLevel="0" collapsed="false">
      <c r="A25" s="13" t="s">
        <v>107</v>
      </c>
      <c r="B25" s="13" t="s">
        <v>108</v>
      </c>
      <c r="C25" s="14" t="s">
        <v>37</v>
      </c>
      <c r="D25" s="15" t="s">
        <v>109</v>
      </c>
      <c r="E25" s="13" t="s">
        <v>45</v>
      </c>
      <c r="F25" s="13" t="s">
        <v>110</v>
      </c>
      <c r="G25" s="16" t="n">
        <v>10</v>
      </c>
      <c r="H25" s="15" t="s">
        <v>111</v>
      </c>
      <c r="I25" s="18" t="n">
        <f aca="false">IF($G25=0,J54,WORKDAY.INTL(J54,1,11))</f>
        <v>46646</v>
      </c>
      <c r="J25" s="18" t="n">
        <f aca="false">IF(G25=0,I25,WORKDAY.INTL(I25,G25-1,11))</f>
        <v>46657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customFormat="false" ht="15" hidden="false" customHeight="false" outlineLevel="0" collapsed="false">
      <c r="A26" s="13" t="s">
        <v>112</v>
      </c>
      <c r="B26" s="13" t="s">
        <v>113</v>
      </c>
      <c r="C26" s="14" t="s">
        <v>37</v>
      </c>
      <c r="D26" s="15" t="s">
        <v>114</v>
      </c>
      <c r="E26" s="13" t="s">
        <v>45</v>
      </c>
      <c r="F26" s="13" t="s">
        <v>40</v>
      </c>
      <c r="G26" s="16" t="n">
        <v>30</v>
      </c>
      <c r="H26" s="15" t="s">
        <v>115</v>
      </c>
      <c r="I26" s="18" t="n">
        <f aca="false">IF($G26=0,J90,WORKDAY.INTL(J90,1,11))</f>
        <v>46955</v>
      </c>
      <c r="J26" s="18" t="n">
        <f aca="false">IF(G26=0,I26,WORKDAY.INTL(I26,G26-1,11))</f>
        <v>46989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 customFormat="false" ht="15" hidden="false" customHeight="false" outlineLevel="0" collapsed="false">
      <c r="A27" s="13" t="s">
        <v>116</v>
      </c>
      <c r="B27" s="13" t="s">
        <v>117</v>
      </c>
      <c r="C27" s="14" t="s">
        <v>37</v>
      </c>
      <c r="D27" s="15" t="s">
        <v>118</v>
      </c>
      <c r="E27" s="13" t="s">
        <v>45</v>
      </c>
      <c r="F27" s="13" t="s">
        <v>40</v>
      </c>
      <c r="G27" s="16" t="n">
        <v>25</v>
      </c>
      <c r="H27" s="15" t="s">
        <v>119</v>
      </c>
      <c r="I27" s="18" t="n">
        <f aca="false">IF($G27=0,J85,WORKDAY.INTL(J85,1,11))</f>
        <v>46924</v>
      </c>
      <c r="J27" s="18" t="n">
        <f aca="false">IF(G27=0,I27,WORKDAY.INTL(I27,G27-1,11))</f>
        <v>46952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 customFormat="false" ht="15" hidden="false" customHeight="false" outlineLevel="0" collapsed="false">
      <c r="A28" s="13" t="s">
        <v>120</v>
      </c>
      <c r="B28" s="13" t="s">
        <v>121</v>
      </c>
      <c r="C28" s="14" t="s">
        <v>37</v>
      </c>
      <c r="D28" s="15" t="s">
        <v>122</v>
      </c>
      <c r="E28" s="13" t="s">
        <v>45</v>
      </c>
      <c r="F28" s="13" t="s">
        <v>40</v>
      </c>
      <c r="G28" s="16" t="n">
        <v>25</v>
      </c>
      <c r="H28" s="15" t="s">
        <v>123</v>
      </c>
      <c r="I28" s="18" t="n">
        <f aca="false">IF($G28=0,J84,WORKDAY.INTL(J84,1,11))</f>
        <v>46878</v>
      </c>
      <c r="J28" s="18" t="n">
        <f aca="false">IF(G28=0,I28,WORKDAY.INTL(I28,G28-1,11))</f>
        <v>46906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 customFormat="false" ht="15" hidden="false" customHeight="false" outlineLevel="0" collapsed="false">
      <c r="A29" s="8" t="s">
        <v>124</v>
      </c>
      <c r="B29" s="8" t="s">
        <v>125</v>
      </c>
      <c r="C29" s="8" t="s">
        <v>33</v>
      </c>
      <c r="D29" s="8" t="s">
        <v>126</v>
      </c>
      <c r="E29" s="9"/>
      <c r="F29" s="9"/>
      <c r="G29" s="10" t="n">
        <f aca="false">NETWORKDAYS.INTL(I29,J29,11)</f>
        <v>160</v>
      </c>
      <c r="H29" s="9"/>
      <c r="I29" s="11" t="n">
        <f aca="false">MIN(I30:I38)</f>
        <v>46459</v>
      </c>
      <c r="J29" s="11" t="n">
        <f aca="false">MAX(J30:J38)</f>
        <v>46645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 customFormat="false" ht="15" hidden="false" customHeight="false" outlineLevel="0" collapsed="false">
      <c r="A30" s="13" t="s">
        <v>127</v>
      </c>
      <c r="B30" s="13" t="s">
        <v>128</v>
      </c>
      <c r="C30" s="14" t="s">
        <v>37</v>
      </c>
      <c r="D30" s="15" t="s">
        <v>129</v>
      </c>
      <c r="E30" s="13" t="s">
        <v>45</v>
      </c>
      <c r="F30" s="13" t="s">
        <v>40</v>
      </c>
      <c r="G30" s="16" t="n">
        <v>20</v>
      </c>
      <c r="H30" s="15" t="s">
        <v>65</v>
      </c>
      <c r="I30" s="18" t="n">
        <f aca="false">IF($G30=0,J12,WORKDAY.INTL(J12,1,11))</f>
        <v>46459</v>
      </c>
      <c r="J30" s="18" t="n">
        <f aca="false">IF(G30=0,I30,WORKDAY.INTL(I30,G30-1,11))</f>
        <v>46482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 customFormat="false" ht="15" hidden="false" customHeight="false" outlineLevel="0" collapsed="false">
      <c r="A31" s="13" t="s">
        <v>130</v>
      </c>
      <c r="B31" s="13" t="s">
        <v>131</v>
      </c>
      <c r="C31" s="14" t="s">
        <v>37</v>
      </c>
      <c r="D31" s="15" t="s">
        <v>132</v>
      </c>
      <c r="E31" s="13" t="s">
        <v>45</v>
      </c>
      <c r="F31" s="13" t="s">
        <v>40</v>
      </c>
      <c r="G31" s="16" t="n">
        <v>20</v>
      </c>
      <c r="H31" s="15" t="s">
        <v>133</v>
      </c>
      <c r="I31" s="18" t="n">
        <f aca="false">IF($G31=0,J30,WORKDAY.INTL(J30,1,11))</f>
        <v>46483</v>
      </c>
      <c r="J31" s="18" t="n">
        <f aca="false">IF(G31=0,I31,WORKDAY.INTL(I31,G31-1,11))</f>
        <v>46505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customFormat="false" ht="15" hidden="false" customHeight="false" outlineLevel="0" collapsed="false">
      <c r="A32" s="13" t="s">
        <v>134</v>
      </c>
      <c r="B32" s="13" t="s">
        <v>135</v>
      </c>
      <c r="C32" s="14" t="s">
        <v>37</v>
      </c>
      <c r="D32" s="15" t="s">
        <v>136</v>
      </c>
      <c r="E32" s="13" t="s">
        <v>45</v>
      </c>
      <c r="F32" s="13" t="s">
        <v>137</v>
      </c>
      <c r="G32" s="16" t="n">
        <v>100</v>
      </c>
      <c r="H32" s="15" t="s">
        <v>138</v>
      </c>
      <c r="I32" s="18" t="n">
        <f aca="false">IF($G32=0,J31,WORKDAY.INTL(J31,1,11))</f>
        <v>46506</v>
      </c>
      <c r="J32" s="18" t="n">
        <f aca="false">IF(G32=0,I32,WORKDAY.INTL(I32,G32-1,11))</f>
        <v>46622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customFormat="false" ht="15" hidden="false" customHeight="false" outlineLevel="0" collapsed="false">
      <c r="A33" s="13" t="s">
        <v>139</v>
      </c>
      <c r="B33" s="13" t="s">
        <v>140</v>
      </c>
      <c r="C33" s="14" t="s">
        <v>37</v>
      </c>
      <c r="D33" s="15" t="s">
        <v>141</v>
      </c>
      <c r="E33" s="13" t="s">
        <v>45</v>
      </c>
      <c r="F33" s="13" t="s">
        <v>40</v>
      </c>
      <c r="G33" s="16" t="n">
        <v>30</v>
      </c>
      <c r="H33" s="15" t="s">
        <v>65</v>
      </c>
      <c r="I33" s="18" t="n">
        <f aca="false">IF($G33=0,J12,WORKDAY.INTL(J12,1,11))</f>
        <v>46459</v>
      </c>
      <c r="J33" s="18" t="n">
        <f aca="false">IF(G33=0,I33,WORKDAY.INTL(I33,G33-1,11))</f>
        <v>46493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 customFormat="false" ht="15" hidden="false" customHeight="false" outlineLevel="0" collapsed="false">
      <c r="A34" s="13" t="s">
        <v>142</v>
      </c>
      <c r="B34" s="13" t="s">
        <v>143</v>
      </c>
      <c r="C34" s="14" t="s">
        <v>37</v>
      </c>
      <c r="D34" s="15" t="s">
        <v>144</v>
      </c>
      <c r="E34" s="13" t="s">
        <v>45</v>
      </c>
      <c r="F34" s="13" t="s">
        <v>145</v>
      </c>
      <c r="G34" s="16" t="n">
        <v>45</v>
      </c>
      <c r="H34" s="15" t="s">
        <v>146</v>
      </c>
      <c r="I34" s="18" t="n">
        <f aca="false">IF($G34=0,J33,WORKDAY.INTL(J33,1,11))</f>
        <v>46494</v>
      </c>
      <c r="J34" s="18" t="n">
        <f aca="false">IF(G34=0,I34,WORKDAY.INTL(I34,G34-1,11))</f>
        <v>46546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customFormat="false" ht="15" hidden="false" customHeight="false" outlineLevel="0" collapsed="false">
      <c r="A35" s="13" t="s">
        <v>147</v>
      </c>
      <c r="B35" s="13" t="s">
        <v>148</v>
      </c>
      <c r="C35" s="14" t="s">
        <v>37</v>
      </c>
      <c r="D35" s="15" t="s">
        <v>149</v>
      </c>
      <c r="E35" s="13" t="s">
        <v>45</v>
      </c>
      <c r="F35" s="13" t="s">
        <v>145</v>
      </c>
      <c r="G35" s="16" t="n">
        <v>40</v>
      </c>
      <c r="H35" s="15" t="s">
        <v>74</v>
      </c>
      <c r="I35" s="18" t="n">
        <f aca="false">IF($G35=0,J14,WORKDAY.INTL(J14,1,11))</f>
        <v>46483</v>
      </c>
      <c r="J35" s="18" t="n">
        <f aca="false">IF(G35=0,I35,WORKDAY.INTL(I35,G35-1,11))</f>
        <v>46528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customFormat="false" ht="15" hidden="false" customHeight="false" outlineLevel="0" collapsed="false">
      <c r="A36" s="13" t="s">
        <v>150</v>
      </c>
      <c r="B36" s="13" t="s">
        <v>151</v>
      </c>
      <c r="C36" s="14" t="s">
        <v>37</v>
      </c>
      <c r="D36" s="15" t="s">
        <v>152</v>
      </c>
      <c r="E36" s="13" t="s">
        <v>45</v>
      </c>
      <c r="F36" s="13" t="s">
        <v>40</v>
      </c>
      <c r="G36" s="16" t="n">
        <v>60</v>
      </c>
      <c r="H36" s="15" t="s">
        <v>153</v>
      </c>
      <c r="I36" s="18" t="n">
        <f aca="false">IF($G36=0,J9,WORKDAY.INTL(J9,1,11))</f>
        <v>46459</v>
      </c>
      <c r="J36" s="18" t="n">
        <f aca="false">IF(G36=0,I36,WORKDAY.INTL(I36,G36-1,11))</f>
        <v>46528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customFormat="false" ht="15" hidden="false" customHeight="false" outlineLevel="0" collapsed="false">
      <c r="A37" s="13" t="s">
        <v>154</v>
      </c>
      <c r="B37" s="13" t="s">
        <v>155</v>
      </c>
      <c r="C37" s="14" t="s">
        <v>37</v>
      </c>
      <c r="D37" s="15" t="s">
        <v>156</v>
      </c>
      <c r="E37" s="13" t="s">
        <v>45</v>
      </c>
      <c r="F37" s="13" t="s">
        <v>40</v>
      </c>
      <c r="G37" s="16" t="n">
        <v>25</v>
      </c>
      <c r="H37" s="15" t="s">
        <v>91</v>
      </c>
      <c r="I37" s="18" t="n">
        <f aca="false">IF($G37=0,J19,WORKDAY.INTL(J19,1,11))</f>
        <v>46512</v>
      </c>
      <c r="J37" s="18" t="n">
        <f aca="false">IF(G37=0,I37,WORKDAY.INTL(I37,G37-1,11))</f>
        <v>46540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customFormat="false" ht="15" hidden="false" customHeight="false" outlineLevel="0" collapsed="false">
      <c r="A38" s="13" t="s">
        <v>157</v>
      </c>
      <c r="B38" s="13" t="s">
        <v>158</v>
      </c>
      <c r="C38" s="14" t="s">
        <v>37</v>
      </c>
      <c r="D38" s="15" t="s">
        <v>159</v>
      </c>
      <c r="E38" s="13" t="s">
        <v>45</v>
      </c>
      <c r="F38" s="13" t="s">
        <v>40</v>
      </c>
      <c r="G38" s="16" t="n">
        <v>20</v>
      </c>
      <c r="H38" s="15" t="s">
        <v>160</v>
      </c>
      <c r="I38" s="18" t="n">
        <f aca="false">IF($G38=0,J32,WORKDAY.INTL(J32,1,11))</f>
        <v>46623</v>
      </c>
      <c r="J38" s="18" t="n">
        <f aca="false">IF(G38=0,I38,WORKDAY.INTL(I38,G38-1,11))</f>
        <v>46645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 customFormat="false" ht="15" hidden="false" customHeight="false" outlineLevel="0" collapsed="false">
      <c r="A39" s="8" t="s">
        <v>161</v>
      </c>
      <c r="B39" s="8" t="s">
        <v>162</v>
      </c>
      <c r="C39" s="8" t="s">
        <v>33</v>
      </c>
      <c r="D39" s="8" t="s">
        <v>163</v>
      </c>
      <c r="E39" s="9"/>
      <c r="F39" s="9"/>
      <c r="G39" s="10" t="n">
        <f aca="false">NETWORKDAYS.INTL(I39,J39,11)</f>
        <v>216</v>
      </c>
      <c r="H39" s="9"/>
      <c r="I39" s="11" t="n">
        <f aca="false">MIN(I40:I49)</f>
        <v>46436</v>
      </c>
      <c r="J39" s="11" t="n">
        <f aca="false">MAX(J40:J49)</f>
        <v>46687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 customFormat="false" ht="15" hidden="false" customHeight="false" outlineLevel="0" collapsed="false">
      <c r="A40" s="13" t="s">
        <v>164</v>
      </c>
      <c r="B40" s="13" t="s">
        <v>165</v>
      </c>
      <c r="C40" s="14" t="s">
        <v>37</v>
      </c>
      <c r="D40" s="15" t="s">
        <v>166</v>
      </c>
      <c r="E40" s="13" t="s">
        <v>45</v>
      </c>
      <c r="F40" s="13" t="s">
        <v>73</v>
      </c>
      <c r="G40" s="16" t="n">
        <v>40</v>
      </c>
      <c r="H40" s="15" t="s">
        <v>50</v>
      </c>
      <c r="I40" s="18" t="n">
        <f aca="false">IF($G40=0,J8,WORKDAY.INTL(J8,1,11))</f>
        <v>46436</v>
      </c>
      <c r="J40" s="18" t="n">
        <f aca="false">IF(G40=0,I40,WORKDAY.INTL(I40,G40-1,11))</f>
        <v>46482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 customFormat="false" ht="15" hidden="false" customHeight="false" outlineLevel="0" collapsed="false">
      <c r="A41" s="13" t="s">
        <v>167</v>
      </c>
      <c r="B41" s="13" t="s">
        <v>168</v>
      </c>
      <c r="C41" s="14" t="s">
        <v>37</v>
      </c>
      <c r="D41" s="15" t="s">
        <v>169</v>
      </c>
      <c r="E41" s="13" t="s">
        <v>45</v>
      </c>
      <c r="F41" s="13" t="s">
        <v>73</v>
      </c>
      <c r="G41" s="16" t="n">
        <v>30</v>
      </c>
      <c r="H41" s="15" t="s">
        <v>170</v>
      </c>
      <c r="I41" s="18" t="n">
        <f aca="false">MAX(IF($G41=0,J40,WORKDAY.INTL(J40,1,11)),IF($G41=0,J15,WORKDAY.INTL(J15,1,11)))</f>
        <v>46494</v>
      </c>
      <c r="J41" s="18" t="n">
        <f aca="false">IF(G41=0,I41,WORKDAY.INTL(I41,G41-1,11))</f>
        <v>46528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 customFormat="false" ht="15" hidden="false" customHeight="false" outlineLevel="0" collapsed="false">
      <c r="A42" s="13" t="s">
        <v>171</v>
      </c>
      <c r="B42" s="13" t="s">
        <v>172</v>
      </c>
      <c r="C42" s="14" t="s">
        <v>37</v>
      </c>
      <c r="D42" s="15" t="s">
        <v>173</v>
      </c>
      <c r="E42" s="13" t="s">
        <v>45</v>
      </c>
      <c r="F42" s="13" t="s">
        <v>73</v>
      </c>
      <c r="G42" s="16" t="n">
        <v>60</v>
      </c>
      <c r="H42" s="15" t="s">
        <v>174</v>
      </c>
      <c r="I42" s="18" t="n">
        <f aca="false">MAX(IF($G42=0,J41,WORKDAY.INTL(J41,1,11)),IF($G42=0,J16,WORKDAY.INTL(J16,1,11)))</f>
        <v>46529</v>
      </c>
      <c r="J42" s="18" t="n">
        <f aca="false">IF(G42=0,I42,WORKDAY.INTL(I42,G42-1,11))</f>
        <v>46598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 customFormat="false" ht="23.85" hidden="false" customHeight="false" outlineLevel="0" collapsed="false">
      <c r="A43" s="13" t="s">
        <v>175</v>
      </c>
      <c r="B43" s="13" t="s">
        <v>176</v>
      </c>
      <c r="C43" s="14" t="s">
        <v>37</v>
      </c>
      <c r="D43" s="15" t="s">
        <v>177</v>
      </c>
      <c r="E43" s="13" t="s">
        <v>45</v>
      </c>
      <c r="F43" s="13" t="s">
        <v>73</v>
      </c>
      <c r="G43" s="16" t="n">
        <v>76</v>
      </c>
      <c r="H43" s="15" t="s">
        <v>178</v>
      </c>
      <c r="I43" s="18" t="n">
        <f aca="false">IF($G43=0,J42,WORKDAY.INTL(J42,1,11))</f>
        <v>46599</v>
      </c>
      <c r="J43" s="18" t="n">
        <f aca="false">IF(G43=0,I43,WORKDAY.INTL(I43,G43-1,11))</f>
        <v>46687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 customFormat="false" ht="15" hidden="false" customHeight="false" outlineLevel="0" collapsed="false">
      <c r="A44" s="13" t="s">
        <v>179</v>
      </c>
      <c r="B44" s="13" t="s">
        <v>180</v>
      </c>
      <c r="C44" s="14" t="s">
        <v>37</v>
      </c>
      <c r="D44" s="15" t="s">
        <v>181</v>
      </c>
      <c r="E44" s="13" t="s">
        <v>45</v>
      </c>
      <c r="F44" s="13" t="s">
        <v>73</v>
      </c>
      <c r="G44" s="16" t="n">
        <v>25</v>
      </c>
      <c r="H44" s="15" t="s">
        <v>182</v>
      </c>
      <c r="I44" s="18" t="n">
        <f aca="false">IF($G44=0,J40,WORKDAY.INTL(J40,1,11))</f>
        <v>46483</v>
      </c>
      <c r="J44" s="18" t="n">
        <f aca="false">IF(G44=0,I44,WORKDAY.INTL(I44,G44-1,11))</f>
        <v>46511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 customFormat="false" ht="15" hidden="false" customHeight="false" outlineLevel="0" collapsed="false">
      <c r="A45" s="13" t="s">
        <v>183</v>
      </c>
      <c r="B45" s="13" t="s">
        <v>184</v>
      </c>
      <c r="C45" s="14" t="s">
        <v>37</v>
      </c>
      <c r="D45" s="15" t="s">
        <v>185</v>
      </c>
      <c r="E45" s="13" t="s">
        <v>45</v>
      </c>
      <c r="F45" s="13" t="s">
        <v>73</v>
      </c>
      <c r="G45" s="16" t="n">
        <v>40</v>
      </c>
      <c r="H45" s="15" t="s">
        <v>182</v>
      </c>
      <c r="I45" s="18" t="n">
        <f aca="false">IF($G45=0,J40,WORKDAY.INTL(J40,1,11))</f>
        <v>46483</v>
      </c>
      <c r="J45" s="18" t="n">
        <f aca="false">IF(G45=0,I45,WORKDAY.INTL(I45,G45-1,11))</f>
        <v>46528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 customFormat="false" ht="15" hidden="false" customHeight="false" outlineLevel="0" collapsed="false">
      <c r="A46" s="13" t="s">
        <v>186</v>
      </c>
      <c r="B46" s="13" t="s">
        <v>187</v>
      </c>
      <c r="C46" s="14" t="s">
        <v>37</v>
      </c>
      <c r="D46" s="15" t="s">
        <v>188</v>
      </c>
      <c r="E46" s="13" t="s">
        <v>45</v>
      </c>
      <c r="F46" s="13" t="s">
        <v>73</v>
      </c>
      <c r="G46" s="16" t="n">
        <v>40</v>
      </c>
      <c r="H46" s="15" t="s">
        <v>182</v>
      </c>
      <c r="I46" s="18" t="n">
        <f aca="false">IF($G46=0,J40,WORKDAY.INTL(J40,1,11))</f>
        <v>46483</v>
      </c>
      <c r="J46" s="18" t="n">
        <f aca="false">IF(G46=0,I46,WORKDAY.INTL(I46,G46-1,11))</f>
        <v>46528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 customFormat="false" ht="15" hidden="false" customHeight="false" outlineLevel="0" collapsed="false">
      <c r="A47" s="13" t="s">
        <v>189</v>
      </c>
      <c r="B47" s="13" t="s">
        <v>190</v>
      </c>
      <c r="C47" s="14" t="s">
        <v>37</v>
      </c>
      <c r="D47" s="15" t="s">
        <v>191</v>
      </c>
      <c r="E47" s="13" t="s">
        <v>45</v>
      </c>
      <c r="F47" s="13" t="s">
        <v>73</v>
      </c>
      <c r="G47" s="16" t="n">
        <v>45</v>
      </c>
      <c r="H47" s="15" t="s">
        <v>192</v>
      </c>
      <c r="I47" s="18" t="n">
        <f aca="false">MAX(IF($G47=0,J40,WORKDAY.INTL(J40,1,11)),IF($G47=0,J44,WORKDAY.INTL(J44,1,11)))</f>
        <v>46512</v>
      </c>
      <c r="J47" s="18" t="n">
        <f aca="false">IF(G47=0,I47,WORKDAY.INTL(I47,G47-1,11))</f>
        <v>46563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 customFormat="false" ht="23.85" hidden="false" customHeight="false" outlineLevel="0" collapsed="false">
      <c r="A48" s="13" t="s">
        <v>193</v>
      </c>
      <c r="B48" s="13" t="s">
        <v>194</v>
      </c>
      <c r="C48" s="14" t="s">
        <v>37</v>
      </c>
      <c r="D48" s="15" t="s">
        <v>195</v>
      </c>
      <c r="E48" s="13" t="s">
        <v>45</v>
      </c>
      <c r="F48" s="13" t="s">
        <v>73</v>
      </c>
      <c r="G48" s="16" t="n">
        <v>10</v>
      </c>
      <c r="H48" s="15" t="s">
        <v>196</v>
      </c>
      <c r="I48" s="18" t="n">
        <f aca="false">MAX(IF($G48=0,J47,WORKDAY.INTL(J47,1,11)),IF($G48=0,J45,WORKDAY.INTL(J45,1,11)),IF($G48=0,J46,WORKDAY.INTL(J46,1,11)))</f>
        <v>46564</v>
      </c>
      <c r="J48" s="18" t="n">
        <f aca="false">IF(G48=0,I48,WORKDAY.INTL(I48,G48-1,11))</f>
        <v>46575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 customFormat="false" ht="15" hidden="false" customHeight="false" outlineLevel="0" collapsed="false">
      <c r="A49" s="13" t="s">
        <v>197</v>
      </c>
      <c r="B49" s="13" t="s">
        <v>198</v>
      </c>
      <c r="C49" s="14" t="s">
        <v>37</v>
      </c>
      <c r="D49" s="15" t="s">
        <v>199</v>
      </c>
      <c r="E49" s="13" t="s">
        <v>45</v>
      </c>
      <c r="F49" s="13" t="s">
        <v>73</v>
      </c>
      <c r="G49" s="16" t="n">
        <v>40</v>
      </c>
      <c r="H49" s="15" t="s">
        <v>200</v>
      </c>
      <c r="I49" s="18" t="n">
        <f aca="false">IF($G49=0,J57,WORKDAY.INTL(J57,1,11))</f>
        <v>46599</v>
      </c>
      <c r="J49" s="18" t="n">
        <f aca="false">IF(G49=0,I49,WORKDAY.INTL(I49,G49-1,11))</f>
        <v>46645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 customFormat="false" ht="15" hidden="false" customHeight="false" outlineLevel="0" collapsed="false">
      <c r="A50" s="8" t="s">
        <v>201</v>
      </c>
      <c r="B50" s="8" t="s">
        <v>202</v>
      </c>
      <c r="C50" s="8" t="s">
        <v>33</v>
      </c>
      <c r="D50" s="8" t="s">
        <v>203</v>
      </c>
      <c r="E50" s="9"/>
      <c r="F50" s="9"/>
      <c r="G50" s="10" t="n">
        <f aca="false">NETWORKDAYS.INTL(I50,J50,11)</f>
        <v>130</v>
      </c>
      <c r="H50" s="9"/>
      <c r="I50" s="11" t="n">
        <f aca="false">MIN(I51:I61)</f>
        <v>46512</v>
      </c>
      <c r="J50" s="11" t="n">
        <f aca="false">MAX(J51:J61)</f>
        <v>46662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 customFormat="false" ht="15" hidden="false" customHeight="false" outlineLevel="0" collapsed="false">
      <c r="A51" s="13" t="s">
        <v>204</v>
      </c>
      <c r="B51" s="13" t="s">
        <v>205</v>
      </c>
      <c r="C51" s="14" t="s">
        <v>37</v>
      </c>
      <c r="D51" s="15" t="s">
        <v>206</v>
      </c>
      <c r="E51" s="13" t="s">
        <v>45</v>
      </c>
      <c r="F51" s="13" t="s">
        <v>73</v>
      </c>
      <c r="G51" s="16" t="n">
        <v>30</v>
      </c>
      <c r="H51" s="15" t="s">
        <v>95</v>
      </c>
      <c r="I51" s="18" t="n">
        <f aca="false">IF($G51=0,J41,WORKDAY.INTL(J41,1,11))</f>
        <v>46529</v>
      </c>
      <c r="J51" s="18" t="n">
        <f aca="false">IF(G51=0,I51,WORKDAY.INTL(I51,G51-1,11))</f>
        <v>46563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 customFormat="false" ht="15" hidden="false" customHeight="false" outlineLevel="0" collapsed="false">
      <c r="A52" s="13" t="s">
        <v>207</v>
      </c>
      <c r="B52" s="13" t="s">
        <v>208</v>
      </c>
      <c r="C52" s="14" t="s">
        <v>37</v>
      </c>
      <c r="D52" s="15" t="s">
        <v>209</v>
      </c>
      <c r="E52" s="13" t="s">
        <v>45</v>
      </c>
      <c r="F52" s="13" t="s">
        <v>40</v>
      </c>
      <c r="G52" s="16" t="n">
        <v>35</v>
      </c>
      <c r="H52" s="15" t="s">
        <v>210</v>
      </c>
      <c r="I52" s="18" t="n">
        <f aca="false">IF($G52=0,J51,WORKDAY.INTL(J51,1,11))</f>
        <v>46564</v>
      </c>
      <c r="J52" s="18" t="n">
        <f aca="false">IF(G52=0,I52,WORKDAY.INTL(I52,G52-1,11))</f>
        <v>46604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customFormat="false" ht="15" hidden="false" customHeight="false" outlineLevel="0" collapsed="false">
      <c r="A53" s="13" t="s">
        <v>211</v>
      </c>
      <c r="B53" s="13" t="s">
        <v>212</v>
      </c>
      <c r="C53" s="14" t="s">
        <v>37</v>
      </c>
      <c r="D53" s="15" t="s">
        <v>213</v>
      </c>
      <c r="E53" s="13" t="s">
        <v>45</v>
      </c>
      <c r="F53" s="13" t="s">
        <v>40</v>
      </c>
      <c r="G53" s="16" t="n">
        <v>20</v>
      </c>
      <c r="H53" s="15" t="s">
        <v>214</v>
      </c>
      <c r="I53" s="18" t="n">
        <f aca="false">IF($G53=0,J52,WORKDAY.INTL(J52,1,11))</f>
        <v>46605</v>
      </c>
      <c r="J53" s="18" t="n">
        <f aca="false">IF(G53=0,I53,WORKDAY.INTL(I53,G53-1,11))</f>
        <v>46627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customFormat="false" ht="15" hidden="false" customHeight="false" outlineLevel="0" collapsed="false">
      <c r="A54" s="13" t="s">
        <v>215</v>
      </c>
      <c r="B54" s="13" t="s">
        <v>216</v>
      </c>
      <c r="C54" s="14" t="s">
        <v>37</v>
      </c>
      <c r="D54" s="15" t="s">
        <v>217</v>
      </c>
      <c r="E54" s="13" t="s">
        <v>45</v>
      </c>
      <c r="F54" s="13" t="s">
        <v>40</v>
      </c>
      <c r="G54" s="16" t="n">
        <v>15</v>
      </c>
      <c r="H54" s="15" t="s">
        <v>218</v>
      </c>
      <c r="I54" s="18" t="n">
        <f aca="false">IF($G54=0,J53,WORKDAY.INTL(J53,1,11))</f>
        <v>46629</v>
      </c>
      <c r="J54" s="18" t="n">
        <f aca="false">IF(G54=0,I54,WORKDAY.INTL(I54,G54-1,11))</f>
        <v>46645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customFormat="false" ht="15" hidden="false" customHeight="false" outlineLevel="0" collapsed="false">
      <c r="A55" s="13" t="s">
        <v>219</v>
      </c>
      <c r="B55" s="13" t="s">
        <v>220</v>
      </c>
      <c r="C55" s="14" t="s">
        <v>37</v>
      </c>
      <c r="D55" s="15" t="s">
        <v>221</v>
      </c>
      <c r="E55" s="13" t="s">
        <v>45</v>
      </c>
      <c r="F55" s="13" t="s">
        <v>40</v>
      </c>
      <c r="G55" s="16" t="n">
        <v>15</v>
      </c>
      <c r="H55" s="15" t="s">
        <v>111</v>
      </c>
      <c r="I55" s="18" t="n">
        <f aca="false">IF($G55=0,J54,WORKDAY.INTL(J54,1,11))</f>
        <v>46646</v>
      </c>
      <c r="J55" s="18" t="n">
        <f aca="false">IF(G55=0,I55,WORKDAY.INTL(I55,G55-1,11))</f>
        <v>46662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 customFormat="false" ht="23.85" hidden="false" customHeight="false" outlineLevel="0" collapsed="false">
      <c r="A56" s="13" t="s">
        <v>222</v>
      </c>
      <c r="B56" s="13" t="s">
        <v>223</v>
      </c>
      <c r="C56" s="14" t="s">
        <v>37</v>
      </c>
      <c r="D56" s="15" t="s">
        <v>224</v>
      </c>
      <c r="E56" s="13" t="s">
        <v>45</v>
      </c>
      <c r="F56" s="13" t="s">
        <v>40</v>
      </c>
      <c r="G56" s="16" t="n">
        <v>60</v>
      </c>
      <c r="H56" s="15" t="s">
        <v>225</v>
      </c>
      <c r="I56" s="18" t="n">
        <f aca="false">IF($G56=0,J44,WORKDAY.INTL(J44,1,11))</f>
        <v>46512</v>
      </c>
      <c r="J56" s="18" t="n">
        <f aca="false">IF(G56=0,I56,WORKDAY.INTL(I56,G56-1,11))</f>
        <v>46581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 customFormat="false" ht="15" hidden="false" customHeight="false" outlineLevel="0" collapsed="false">
      <c r="A57" s="13" t="s">
        <v>226</v>
      </c>
      <c r="B57" s="13" t="s">
        <v>227</v>
      </c>
      <c r="C57" s="14" t="s">
        <v>37</v>
      </c>
      <c r="D57" s="15" t="s">
        <v>228</v>
      </c>
      <c r="E57" s="13" t="s">
        <v>45</v>
      </c>
      <c r="F57" s="13" t="s">
        <v>40</v>
      </c>
      <c r="G57" s="16" t="n">
        <v>15</v>
      </c>
      <c r="H57" s="15" t="s">
        <v>229</v>
      </c>
      <c r="I57" s="18" t="n">
        <f aca="false">IF($G57=0,J56,WORKDAY.INTL(J56,1,11))</f>
        <v>46582</v>
      </c>
      <c r="J57" s="18" t="n">
        <f aca="false">IF(G57=0,I57,WORKDAY.INTL(I57,G57-1,11))</f>
        <v>46598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</row>
    <row r="58" customFormat="false" ht="15" hidden="false" customHeight="false" outlineLevel="0" collapsed="false">
      <c r="A58" s="13" t="s">
        <v>230</v>
      </c>
      <c r="B58" s="13" t="s">
        <v>231</v>
      </c>
      <c r="C58" s="14" t="s">
        <v>37</v>
      </c>
      <c r="D58" s="15" t="s">
        <v>232</v>
      </c>
      <c r="E58" s="13" t="s">
        <v>45</v>
      </c>
      <c r="F58" s="13" t="s">
        <v>40</v>
      </c>
      <c r="G58" s="16" t="n">
        <v>75</v>
      </c>
      <c r="H58" s="15" t="s">
        <v>225</v>
      </c>
      <c r="I58" s="18" t="n">
        <f aca="false">IF($G58=0,J44,WORKDAY.INTL(J44,1,11))</f>
        <v>46512</v>
      </c>
      <c r="J58" s="18" t="n">
        <f aca="false">IF(G58=0,I58,WORKDAY.INTL(I58,G58-1,11))</f>
        <v>46598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</row>
    <row r="59" customFormat="false" ht="15" hidden="false" customHeight="false" outlineLevel="0" collapsed="false">
      <c r="A59" s="13" t="s">
        <v>233</v>
      </c>
      <c r="B59" s="13" t="s">
        <v>234</v>
      </c>
      <c r="C59" s="14" t="s">
        <v>37</v>
      </c>
      <c r="D59" s="15" t="s">
        <v>235</v>
      </c>
      <c r="E59" s="13" t="s">
        <v>45</v>
      </c>
      <c r="F59" s="13" t="s">
        <v>40</v>
      </c>
      <c r="G59" s="16" t="n">
        <v>75</v>
      </c>
      <c r="H59" s="15" t="s">
        <v>236</v>
      </c>
      <c r="I59" s="18" t="n">
        <f aca="false">IF($G59=0,J47,WORKDAY.INTL(J47,1,11))</f>
        <v>46564</v>
      </c>
      <c r="J59" s="18" t="n">
        <f aca="false">IF(G59=0,I59,WORKDAY.INTL(I59,G59-1,11))</f>
        <v>46651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 customFormat="false" ht="23.85" hidden="false" customHeight="false" outlineLevel="0" collapsed="false">
      <c r="A60" s="13" t="s">
        <v>237</v>
      </c>
      <c r="B60" s="13" t="s">
        <v>238</v>
      </c>
      <c r="C60" s="14" t="s">
        <v>37</v>
      </c>
      <c r="D60" s="15" t="s">
        <v>239</v>
      </c>
      <c r="E60" s="13" t="s">
        <v>45</v>
      </c>
      <c r="F60" s="13" t="s">
        <v>40</v>
      </c>
      <c r="G60" s="16" t="n">
        <v>90</v>
      </c>
      <c r="H60" s="15" t="s">
        <v>102</v>
      </c>
      <c r="I60" s="18" t="n">
        <f aca="false">IF($G60=0,J45,WORKDAY.INTL(J45,1,11))</f>
        <v>46529</v>
      </c>
      <c r="J60" s="18" t="n">
        <f aca="false">IF(G60=0,I60,WORKDAY.INTL(I60,G60-1,11))</f>
        <v>46633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 customFormat="false" ht="15" hidden="false" customHeight="false" outlineLevel="0" collapsed="false">
      <c r="A61" s="13" t="s">
        <v>240</v>
      </c>
      <c r="B61" s="13" t="s">
        <v>241</v>
      </c>
      <c r="C61" s="14" t="s">
        <v>37</v>
      </c>
      <c r="D61" s="15" t="s">
        <v>242</v>
      </c>
      <c r="E61" s="13" t="s">
        <v>45</v>
      </c>
      <c r="F61" s="13" t="s">
        <v>40</v>
      </c>
      <c r="G61" s="16" t="n">
        <v>75</v>
      </c>
      <c r="H61" s="15" t="s">
        <v>243</v>
      </c>
      <c r="I61" s="18" t="n">
        <f aca="false">IF($G61=0,J46,WORKDAY.INTL(J46,1,11))</f>
        <v>46529</v>
      </c>
      <c r="J61" s="18" t="n">
        <f aca="false">IF(G61=0,I61,WORKDAY.INTL(I61,G61-1,11))</f>
        <v>46616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</row>
    <row r="62" customFormat="false" ht="15" hidden="false" customHeight="false" outlineLevel="0" collapsed="false">
      <c r="A62" s="8" t="s">
        <v>244</v>
      </c>
      <c r="B62" s="8" t="s">
        <v>245</v>
      </c>
      <c r="C62" s="8" t="s">
        <v>33</v>
      </c>
      <c r="D62" s="8" t="s">
        <v>246</v>
      </c>
      <c r="E62" s="9"/>
      <c r="F62" s="9"/>
      <c r="G62" s="10" t="n">
        <f aca="false">NETWORKDAYS.INTL(I62,J62,11)</f>
        <v>261</v>
      </c>
      <c r="H62" s="9"/>
      <c r="I62" s="11" t="n">
        <f aca="false">MIN(I63:I74)</f>
        <v>46599</v>
      </c>
      <c r="J62" s="11" t="n">
        <f aca="false">MAX(J63:J74)</f>
        <v>46903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</row>
    <row r="63" customFormat="false" ht="23.85" hidden="false" customHeight="false" outlineLevel="0" collapsed="false">
      <c r="A63" s="13" t="s">
        <v>247</v>
      </c>
      <c r="B63" s="13" t="s">
        <v>248</v>
      </c>
      <c r="C63" s="14" t="s">
        <v>37</v>
      </c>
      <c r="D63" s="15" t="s">
        <v>249</v>
      </c>
      <c r="E63" s="13" t="s">
        <v>45</v>
      </c>
      <c r="F63" s="13" t="s">
        <v>250</v>
      </c>
      <c r="G63" s="16" t="n">
        <v>189</v>
      </c>
      <c r="H63" s="15" t="s">
        <v>200</v>
      </c>
      <c r="I63" s="18" t="n">
        <f aca="false">IF($G63=0,J57,WORKDAY.INTL(J57,1,11))</f>
        <v>46599</v>
      </c>
      <c r="J63" s="18" t="n">
        <f aca="false">IF(G63=0,I63,WORKDAY.INTL(I63,G63-1,11))</f>
        <v>46819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 customFormat="false" ht="23.85" hidden="false" customHeight="false" outlineLevel="0" collapsed="false">
      <c r="A64" s="13" t="s">
        <v>251</v>
      </c>
      <c r="B64" s="13" t="s">
        <v>252</v>
      </c>
      <c r="C64" s="14" t="s">
        <v>37</v>
      </c>
      <c r="D64" s="15" t="s">
        <v>253</v>
      </c>
      <c r="E64" s="13" t="s">
        <v>45</v>
      </c>
      <c r="F64" s="13" t="s">
        <v>250</v>
      </c>
      <c r="G64" s="16" t="n">
        <v>12</v>
      </c>
      <c r="H64" s="15" t="s">
        <v>254</v>
      </c>
      <c r="I64" s="18" t="n">
        <f aca="false">IF($G64=0,J63,WORKDAY.INTL(J63,1,11))</f>
        <v>46820</v>
      </c>
      <c r="J64" s="18" t="n">
        <f aca="false">IF(G64=0,I64,WORKDAY.INTL(I64,G64-1,11))</f>
        <v>46833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 customFormat="false" ht="15" hidden="false" customHeight="false" outlineLevel="0" collapsed="false">
      <c r="A65" s="13" t="s">
        <v>255</v>
      </c>
      <c r="B65" s="13" t="s">
        <v>256</v>
      </c>
      <c r="C65" s="14" t="s">
        <v>37</v>
      </c>
      <c r="D65" s="15" t="s">
        <v>257</v>
      </c>
      <c r="E65" s="13" t="s">
        <v>45</v>
      </c>
      <c r="F65" s="13" t="s">
        <v>250</v>
      </c>
      <c r="G65" s="16" t="n">
        <v>199</v>
      </c>
      <c r="H65" s="15" t="s">
        <v>200</v>
      </c>
      <c r="I65" s="18" t="n">
        <f aca="false">IF($G65=0,J57,WORKDAY.INTL(J57,1,11))</f>
        <v>46599</v>
      </c>
      <c r="J65" s="18" t="n">
        <f aca="false">IF(G65=0,I65,WORKDAY.INTL(I65,G65-1,11))</f>
        <v>46830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 customFormat="false" ht="15" hidden="false" customHeight="false" outlineLevel="0" collapsed="false">
      <c r="A66" s="13" t="s">
        <v>258</v>
      </c>
      <c r="B66" s="13" t="s">
        <v>259</v>
      </c>
      <c r="C66" s="14" t="s">
        <v>37</v>
      </c>
      <c r="D66" s="15" t="s">
        <v>260</v>
      </c>
      <c r="E66" s="13" t="s">
        <v>45</v>
      </c>
      <c r="F66" s="13" t="s">
        <v>250</v>
      </c>
      <c r="G66" s="16" t="n">
        <v>12</v>
      </c>
      <c r="H66" s="15" t="s">
        <v>261</v>
      </c>
      <c r="I66" s="18" t="n">
        <f aca="false">IF($G66=0,J65,WORKDAY.INTL(J65,1,11))</f>
        <v>46832</v>
      </c>
      <c r="J66" s="18" t="n">
        <f aca="false">IF(G66=0,I66,WORKDAY.INTL(I66,G66-1,11))</f>
        <v>46844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 customFormat="false" ht="23.85" hidden="false" customHeight="false" outlineLevel="0" collapsed="false">
      <c r="A67" s="13" t="s">
        <v>262</v>
      </c>
      <c r="B67" s="13" t="s">
        <v>263</v>
      </c>
      <c r="C67" s="14" t="s">
        <v>37</v>
      </c>
      <c r="D67" s="15" t="s">
        <v>264</v>
      </c>
      <c r="E67" s="13" t="s">
        <v>45</v>
      </c>
      <c r="F67" s="13" t="s">
        <v>250</v>
      </c>
      <c r="G67" s="16" t="n">
        <v>194</v>
      </c>
      <c r="H67" s="15" t="s">
        <v>265</v>
      </c>
      <c r="I67" s="18" t="n">
        <f aca="false">IF($G67=0,J58,WORKDAY.INTL(J58,1,11))</f>
        <v>46599</v>
      </c>
      <c r="J67" s="18" t="n">
        <f aca="false">IF(G67=0,I67,WORKDAY.INTL(I67,G67-1,11))</f>
        <v>46825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 customFormat="false" ht="23.85" hidden="false" customHeight="false" outlineLevel="0" collapsed="false">
      <c r="A68" s="13" t="s">
        <v>266</v>
      </c>
      <c r="B68" s="13" t="s">
        <v>267</v>
      </c>
      <c r="C68" s="14" t="s">
        <v>37</v>
      </c>
      <c r="D68" s="15" t="s">
        <v>268</v>
      </c>
      <c r="E68" s="13" t="s">
        <v>45</v>
      </c>
      <c r="F68" s="13" t="s">
        <v>250</v>
      </c>
      <c r="G68" s="16" t="n">
        <v>12</v>
      </c>
      <c r="H68" s="15" t="s">
        <v>269</v>
      </c>
      <c r="I68" s="18" t="n">
        <f aca="false">IF($G68=0,J67,WORKDAY.INTL(J67,1,11))</f>
        <v>46826</v>
      </c>
      <c r="J68" s="18" t="n">
        <f aca="false">IF(G68=0,I68,WORKDAY.INTL(I68,G68-1,11))</f>
        <v>46839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 customFormat="false" ht="23.85" hidden="false" customHeight="false" outlineLevel="0" collapsed="false">
      <c r="A69" s="13" t="s">
        <v>270</v>
      </c>
      <c r="B69" s="13" t="s">
        <v>271</v>
      </c>
      <c r="C69" s="14" t="s">
        <v>37</v>
      </c>
      <c r="D69" s="15" t="s">
        <v>272</v>
      </c>
      <c r="E69" s="13" t="s">
        <v>45</v>
      </c>
      <c r="F69" s="13" t="s">
        <v>250</v>
      </c>
      <c r="G69" s="16" t="n">
        <v>154</v>
      </c>
      <c r="H69" s="15" t="s">
        <v>273</v>
      </c>
      <c r="I69" s="18" t="n">
        <f aca="false">IF($G69=0,J59,WORKDAY.INTL(J59,1,11))</f>
        <v>46652</v>
      </c>
      <c r="J69" s="18" t="n">
        <f aca="false">IF(G69=0,I69,WORKDAY.INTL(I69,G69-1,11))</f>
        <v>46830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 customFormat="false" ht="15" hidden="false" customHeight="false" outlineLevel="0" collapsed="false">
      <c r="A70" s="13" t="s">
        <v>274</v>
      </c>
      <c r="B70" s="13" t="s">
        <v>275</v>
      </c>
      <c r="C70" s="14" t="s">
        <v>37</v>
      </c>
      <c r="D70" s="15" t="s">
        <v>276</v>
      </c>
      <c r="E70" s="13" t="s">
        <v>45</v>
      </c>
      <c r="F70" s="13" t="s">
        <v>250</v>
      </c>
      <c r="G70" s="16" t="n">
        <v>12</v>
      </c>
      <c r="H70" s="15" t="s">
        <v>277</v>
      </c>
      <c r="I70" s="18" t="n">
        <f aca="false">IF($G70=0,J69,WORKDAY.INTL(J69,1,11))</f>
        <v>46832</v>
      </c>
      <c r="J70" s="18" t="n">
        <f aca="false">IF(G70=0,I70,WORKDAY.INTL(I70,G70-1,11))</f>
        <v>46844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 customFormat="false" ht="23.85" hidden="false" customHeight="false" outlineLevel="0" collapsed="false">
      <c r="A71" s="13" t="s">
        <v>278</v>
      </c>
      <c r="B71" s="13" t="s">
        <v>279</v>
      </c>
      <c r="C71" s="14" t="s">
        <v>37</v>
      </c>
      <c r="D71" s="15" t="s">
        <v>280</v>
      </c>
      <c r="E71" s="13" t="s">
        <v>45</v>
      </c>
      <c r="F71" s="13" t="s">
        <v>250</v>
      </c>
      <c r="G71" s="16" t="n">
        <v>189</v>
      </c>
      <c r="H71" s="15" t="s">
        <v>281</v>
      </c>
      <c r="I71" s="18" t="n">
        <f aca="false">IF($G71=0,J60,WORKDAY.INTL(J60,1,11))</f>
        <v>46634</v>
      </c>
      <c r="J71" s="18" t="n">
        <f aca="false">IF(G71=0,I71,WORKDAY.INTL(I71,G71-1,11))</f>
        <v>46854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 customFormat="false" ht="15" hidden="false" customHeight="false" outlineLevel="0" collapsed="false">
      <c r="A72" s="13" t="s">
        <v>282</v>
      </c>
      <c r="B72" s="13" t="s">
        <v>283</v>
      </c>
      <c r="C72" s="14" t="s">
        <v>37</v>
      </c>
      <c r="D72" s="15" t="s">
        <v>284</v>
      </c>
      <c r="E72" s="13" t="s">
        <v>45</v>
      </c>
      <c r="F72" s="13" t="s">
        <v>250</v>
      </c>
      <c r="G72" s="16" t="n">
        <v>12</v>
      </c>
      <c r="H72" s="15" t="s">
        <v>285</v>
      </c>
      <c r="I72" s="18" t="n">
        <f aca="false">IF($G72=0,J71,WORKDAY.INTL(J71,1,11))</f>
        <v>46855</v>
      </c>
      <c r="J72" s="18" t="n">
        <f aca="false">IF(G72=0,I72,WORKDAY.INTL(I72,G72-1,11))</f>
        <v>46868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 customFormat="false" ht="23.85" hidden="false" customHeight="false" outlineLevel="0" collapsed="false">
      <c r="A73" s="13" t="s">
        <v>286</v>
      </c>
      <c r="B73" s="13" t="s">
        <v>287</v>
      </c>
      <c r="C73" s="14" t="s">
        <v>37</v>
      </c>
      <c r="D73" s="15" t="s">
        <v>288</v>
      </c>
      <c r="E73" s="13" t="s">
        <v>45</v>
      </c>
      <c r="F73" s="13" t="s">
        <v>250</v>
      </c>
      <c r="G73" s="16" t="n">
        <v>234</v>
      </c>
      <c r="H73" s="15" t="s">
        <v>289</v>
      </c>
      <c r="I73" s="18" t="n">
        <f aca="false">IF($G73=0,J61,WORKDAY.INTL(J61,1,11))</f>
        <v>46617</v>
      </c>
      <c r="J73" s="18" t="n">
        <f aca="false">IF(G73=0,I73,WORKDAY.INTL(I73,G73-1,11))</f>
        <v>46889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 customFormat="false" ht="15" hidden="false" customHeight="false" outlineLevel="0" collapsed="false">
      <c r="A74" s="13" t="s">
        <v>290</v>
      </c>
      <c r="B74" s="13" t="s">
        <v>291</v>
      </c>
      <c r="C74" s="14" t="s">
        <v>37</v>
      </c>
      <c r="D74" s="15" t="s">
        <v>292</v>
      </c>
      <c r="E74" s="13" t="s">
        <v>45</v>
      </c>
      <c r="F74" s="13" t="s">
        <v>250</v>
      </c>
      <c r="G74" s="16" t="n">
        <v>12</v>
      </c>
      <c r="H74" s="15" t="s">
        <v>293</v>
      </c>
      <c r="I74" s="18" t="n">
        <f aca="false">IF($G74=0,J73,WORKDAY.INTL(J73,1,11))</f>
        <v>46890</v>
      </c>
      <c r="J74" s="18" t="n">
        <f aca="false">IF(G74=0,I74,WORKDAY.INTL(I74,G74-1,11))</f>
        <v>46903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 customFormat="false" ht="15" hidden="false" customHeight="false" outlineLevel="0" collapsed="false">
      <c r="A75" s="8" t="s">
        <v>294</v>
      </c>
      <c r="B75" s="8" t="s">
        <v>295</v>
      </c>
      <c r="C75" s="8" t="s">
        <v>33</v>
      </c>
      <c r="D75" s="8" t="s">
        <v>296</v>
      </c>
      <c r="E75" s="9"/>
      <c r="F75" s="9"/>
      <c r="G75" s="10" t="n">
        <f aca="false">NETWORKDAYS.INTL(I75,J75,11)</f>
        <v>250</v>
      </c>
      <c r="H75" s="9"/>
      <c r="I75" s="11" t="n">
        <f aca="false">MIN(I76:I88)</f>
        <v>46664</v>
      </c>
      <c r="J75" s="11" t="n">
        <f aca="false">MAX(J76:J88)</f>
        <v>46954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 customFormat="false" ht="35.05" hidden="false" customHeight="false" outlineLevel="0" collapsed="false">
      <c r="A76" s="13" t="s">
        <v>297</v>
      </c>
      <c r="B76" s="13" t="s">
        <v>298</v>
      </c>
      <c r="C76" s="14" t="s">
        <v>37</v>
      </c>
      <c r="D76" s="15" t="s">
        <v>299</v>
      </c>
      <c r="E76" s="13" t="s">
        <v>45</v>
      </c>
      <c r="F76" s="13" t="s">
        <v>40</v>
      </c>
      <c r="G76" s="16" t="n">
        <v>1</v>
      </c>
      <c r="H76" s="15" t="s">
        <v>300</v>
      </c>
      <c r="I76" s="18" t="n">
        <f aca="false">MAX(IF($G76=0,J55,WORKDAY.INTL(J55,1,11)),IF($G76=0,J25,WORKDAY.INTL(J25,1,11)),IF($G76=0,J14,WORKDAY.INTL(J14,1,11)),IF($G76=0,J35,WORKDAY.INTL(J35,1,11)),IF($G76=0,J20,WORKDAY.INTL(J20,1,11)),IF($G76=0,J21,WORKDAY.INTL(J21,1,11)))</f>
        <v>46664</v>
      </c>
      <c r="J76" s="18" t="n">
        <f aca="false">IF(G76=0,I76,WORKDAY.INTL(I76,G76-1,11))</f>
        <v>46664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 customFormat="false" ht="15" hidden="false" customHeight="false" outlineLevel="0" collapsed="false">
      <c r="A77" s="13" t="s">
        <v>301</v>
      </c>
      <c r="B77" s="13" t="s">
        <v>302</v>
      </c>
      <c r="C77" s="14" t="s">
        <v>37</v>
      </c>
      <c r="D77" s="15" t="s">
        <v>303</v>
      </c>
      <c r="E77" s="13" t="s">
        <v>304</v>
      </c>
      <c r="F77" s="13" t="s">
        <v>305</v>
      </c>
      <c r="G77" s="19" t="n">
        <f aca="false">NETWORKDAYS.INTL(I77,J77,11)</f>
        <v>14</v>
      </c>
      <c r="H77" s="13" t="s">
        <v>306</v>
      </c>
      <c r="I77" s="20" t="n">
        <v>46664</v>
      </c>
      <c r="J77" s="20" t="n">
        <v>46679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 customFormat="false" ht="15" hidden="false" customHeight="false" outlineLevel="0" collapsed="false">
      <c r="A78" s="13" t="s">
        <v>307</v>
      </c>
      <c r="B78" s="13" t="s">
        <v>308</v>
      </c>
      <c r="C78" s="14" t="s">
        <v>37</v>
      </c>
      <c r="D78" s="15" t="s">
        <v>309</v>
      </c>
      <c r="E78" s="13" t="s">
        <v>304</v>
      </c>
      <c r="F78" s="13" t="s">
        <v>305</v>
      </c>
      <c r="G78" s="19" t="n">
        <f aca="false">NETWORKDAYS.INTL(I78,J78,11)</f>
        <v>166</v>
      </c>
      <c r="H78" s="13" t="s">
        <v>306</v>
      </c>
      <c r="I78" s="20" t="n">
        <v>46680</v>
      </c>
      <c r="J78" s="20" t="n">
        <v>46872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 customFormat="false" ht="15" hidden="false" customHeight="false" outlineLevel="0" collapsed="false">
      <c r="A79" s="13" t="s">
        <v>310</v>
      </c>
      <c r="B79" s="13" t="s">
        <v>311</v>
      </c>
      <c r="C79" s="14" t="s">
        <v>37</v>
      </c>
      <c r="D79" s="15" t="s">
        <v>312</v>
      </c>
      <c r="E79" s="13" t="s">
        <v>304</v>
      </c>
      <c r="F79" s="13" t="s">
        <v>305</v>
      </c>
      <c r="G79" s="19" t="n">
        <f aca="false">NETWORKDAYS.INTL(I79,J79,11)</f>
        <v>70</v>
      </c>
      <c r="H79" s="13" t="s">
        <v>306</v>
      </c>
      <c r="I79" s="20" t="n">
        <v>46709</v>
      </c>
      <c r="J79" s="20" t="n">
        <v>46790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 customFormat="false" ht="15" hidden="false" customHeight="false" outlineLevel="0" collapsed="false">
      <c r="A80" s="13" t="s">
        <v>313</v>
      </c>
      <c r="B80" s="13" t="s">
        <v>314</v>
      </c>
      <c r="C80" s="14" t="s">
        <v>37</v>
      </c>
      <c r="D80" s="15" t="s">
        <v>315</v>
      </c>
      <c r="E80" s="13" t="s">
        <v>304</v>
      </c>
      <c r="F80" s="13" t="s">
        <v>305</v>
      </c>
      <c r="G80" s="19" t="n">
        <f aca="false">NETWORKDAYS.INTL(I80,J80,11)</f>
        <v>38</v>
      </c>
      <c r="H80" s="13" t="s">
        <v>306</v>
      </c>
      <c r="I80" s="20" t="n">
        <v>46709</v>
      </c>
      <c r="J80" s="20" t="n">
        <v>46752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 customFormat="false" ht="15" hidden="false" customHeight="false" outlineLevel="0" collapsed="false">
      <c r="A81" s="13" t="s">
        <v>316</v>
      </c>
      <c r="B81" s="13" t="s">
        <v>317</v>
      </c>
      <c r="C81" s="14" t="s">
        <v>37</v>
      </c>
      <c r="D81" s="15" t="s">
        <v>318</v>
      </c>
      <c r="E81" s="13" t="s">
        <v>304</v>
      </c>
      <c r="F81" s="13" t="s">
        <v>305</v>
      </c>
      <c r="G81" s="19" t="n">
        <f aca="false">NETWORKDAYS.INTL(I81,J81,11)</f>
        <v>74</v>
      </c>
      <c r="H81" s="13" t="s">
        <v>306</v>
      </c>
      <c r="I81" s="20" t="n">
        <v>46709</v>
      </c>
      <c r="J81" s="20" t="n">
        <v>46794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  <row r="82" customFormat="false" ht="15" hidden="false" customHeight="false" outlineLevel="0" collapsed="false">
      <c r="A82" s="13" t="s">
        <v>319</v>
      </c>
      <c r="B82" s="13" t="s">
        <v>320</v>
      </c>
      <c r="C82" s="14" t="s">
        <v>37</v>
      </c>
      <c r="D82" s="15" t="s">
        <v>321</v>
      </c>
      <c r="E82" s="13" t="s">
        <v>304</v>
      </c>
      <c r="F82" s="13" t="s">
        <v>305</v>
      </c>
      <c r="G82" s="19" t="n">
        <f aca="false">NETWORKDAYS.INTL(I82,J82,11)</f>
        <v>110</v>
      </c>
      <c r="H82" s="13" t="s">
        <v>306</v>
      </c>
      <c r="I82" s="20" t="n">
        <v>46688</v>
      </c>
      <c r="J82" s="20" t="n">
        <v>46815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 customFormat="false" ht="15" hidden="false" customHeight="false" outlineLevel="0" collapsed="false">
      <c r="A83" s="13" t="s">
        <v>322</v>
      </c>
      <c r="B83" s="13" t="s">
        <v>323</v>
      </c>
      <c r="C83" s="14" t="s">
        <v>37</v>
      </c>
      <c r="D83" s="15" t="s">
        <v>324</v>
      </c>
      <c r="E83" s="13" t="s">
        <v>304</v>
      </c>
      <c r="F83" s="13" t="s">
        <v>305</v>
      </c>
      <c r="G83" s="19" t="n">
        <f aca="false">NETWORKDAYS.INTL(I83,J83,11)</f>
        <v>22</v>
      </c>
      <c r="H83" s="13" t="s">
        <v>306</v>
      </c>
      <c r="I83" s="20" t="n">
        <v>46834</v>
      </c>
      <c r="J83" s="20" t="n">
        <v>46858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</row>
    <row r="84" customFormat="false" ht="15" hidden="false" customHeight="false" outlineLevel="0" collapsed="false">
      <c r="A84" s="13" t="s">
        <v>325</v>
      </c>
      <c r="B84" s="13" t="s">
        <v>326</v>
      </c>
      <c r="C84" s="14" t="s">
        <v>37</v>
      </c>
      <c r="D84" s="15" t="s">
        <v>327</v>
      </c>
      <c r="E84" s="13" t="s">
        <v>304</v>
      </c>
      <c r="F84" s="13" t="s">
        <v>305</v>
      </c>
      <c r="G84" s="19" t="n">
        <f aca="false">NETWORKDAYS.INTL(I84,J84,11)</f>
        <v>163</v>
      </c>
      <c r="H84" s="13" t="s">
        <v>306</v>
      </c>
      <c r="I84" s="20" t="n">
        <v>46688</v>
      </c>
      <c r="J84" s="20" t="n">
        <v>46877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</row>
    <row r="85" customFormat="false" ht="15" hidden="false" customHeight="false" outlineLevel="0" collapsed="false">
      <c r="A85" s="13" t="s">
        <v>328</v>
      </c>
      <c r="B85" s="13" t="s">
        <v>329</v>
      </c>
      <c r="C85" s="14" t="s">
        <v>37</v>
      </c>
      <c r="D85" s="15" t="s">
        <v>330</v>
      </c>
      <c r="E85" s="13" t="s">
        <v>304</v>
      </c>
      <c r="F85" s="13" t="s">
        <v>305</v>
      </c>
      <c r="G85" s="19" t="n">
        <f aca="false">NETWORKDAYS.INTL(I85,J85,11)</f>
        <v>176</v>
      </c>
      <c r="H85" s="13" t="s">
        <v>306</v>
      </c>
      <c r="I85" s="20" t="n">
        <v>46718</v>
      </c>
      <c r="J85" s="20" t="n">
        <v>46923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</row>
    <row r="86" customFormat="false" ht="15" hidden="false" customHeight="false" outlineLevel="0" collapsed="false">
      <c r="A86" s="13" t="s">
        <v>331</v>
      </c>
      <c r="B86" s="13" t="s">
        <v>332</v>
      </c>
      <c r="C86" s="14" t="s">
        <v>37</v>
      </c>
      <c r="D86" s="15" t="s">
        <v>333</v>
      </c>
      <c r="E86" s="13" t="s">
        <v>304</v>
      </c>
      <c r="F86" s="13" t="s">
        <v>305</v>
      </c>
      <c r="G86" s="19" t="n">
        <f aca="false">NETWORKDAYS.INTL(I86,J86,11)</f>
        <v>107</v>
      </c>
      <c r="H86" s="13" t="s">
        <v>306</v>
      </c>
      <c r="I86" s="20" t="n">
        <v>46805</v>
      </c>
      <c r="J86" s="20" t="n">
        <v>46928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</row>
    <row r="87" customFormat="false" ht="15" hidden="false" customHeight="false" outlineLevel="0" collapsed="false">
      <c r="A87" s="13" t="s">
        <v>334</v>
      </c>
      <c r="B87" s="13" t="s">
        <v>335</v>
      </c>
      <c r="C87" s="14" t="s">
        <v>37</v>
      </c>
      <c r="D87" s="15" t="s">
        <v>336</v>
      </c>
      <c r="E87" s="13" t="s">
        <v>304</v>
      </c>
      <c r="F87" s="13" t="s">
        <v>305</v>
      </c>
      <c r="G87" s="19" t="n">
        <f aca="false">NETWORKDAYS.INTL(I87,J87,11)</f>
        <v>119</v>
      </c>
      <c r="H87" s="13" t="s">
        <v>306</v>
      </c>
      <c r="I87" s="20" t="n">
        <v>46816</v>
      </c>
      <c r="J87" s="20" t="n">
        <v>46954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 customFormat="false" ht="15" hidden="false" customHeight="false" outlineLevel="0" collapsed="false">
      <c r="A88" s="13" t="s">
        <v>337</v>
      </c>
      <c r="B88" s="13" t="s">
        <v>338</v>
      </c>
      <c r="C88" s="14" t="s">
        <v>37</v>
      </c>
      <c r="D88" s="15" t="s">
        <v>339</v>
      </c>
      <c r="E88" s="13" t="s">
        <v>45</v>
      </c>
      <c r="F88" s="13" t="s">
        <v>73</v>
      </c>
      <c r="G88" s="19" t="n">
        <f aca="false">NETWORKDAYS.INTL(I88,J88,11)</f>
        <v>250</v>
      </c>
      <c r="H88" s="13" t="s">
        <v>340</v>
      </c>
      <c r="I88" s="18" t="n">
        <f aca="false">I76</f>
        <v>46664</v>
      </c>
      <c r="J88" s="18" t="n">
        <f aca="false">J87</f>
        <v>46954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</row>
    <row r="89" customFormat="false" ht="15" hidden="false" customHeight="false" outlineLevel="0" collapsed="false">
      <c r="A89" s="8" t="s">
        <v>341</v>
      </c>
      <c r="B89" s="8" t="s">
        <v>342</v>
      </c>
      <c r="C89" s="8" t="s">
        <v>33</v>
      </c>
      <c r="D89" s="8" t="s">
        <v>343</v>
      </c>
      <c r="E89" s="9"/>
      <c r="F89" s="9"/>
      <c r="G89" s="10" t="n">
        <f aca="false">NETWORKDAYS.INTL(I89,J89,11)</f>
        <v>135</v>
      </c>
      <c r="H89" s="9"/>
      <c r="I89" s="11" t="n">
        <f aca="false">MIN(I90:I97)</f>
        <v>46953</v>
      </c>
      <c r="J89" s="11" t="n">
        <f aca="false">MAX(J90:J97)</f>
        <v>47109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 customFormat="false" ht="35.05" hidden="false" customHeight="false" outlineLevel="0" collapsed="false">
      <c r="A90" s="13" t="s">
        <v>344</v>
      </c>
      <c r="B90" s="13" t="s">
        <v>345</v>
      </c>
      <c r="C90" s="14" t="s">
        <v>37</v>
      </c>
      <c r="D90" s="15" t="s">
        <v>346</v>
      </c>
      <c r="E90" s="13" t="s">
        <v>39</v>
      </c>
      <c r="F90" s="13" t="s">
        <v>347</v>
      </c>
      <c r="G90" s="16" t="n">
        <v>0</v>
      </c>
      <c r="H90" s="15" t="s">
        <v>348</v>
      </c>
      <c r="I90" s="18" t="n">
        <f aca="false">MAX(IF($G90=0,J87,WORKDAY.INTL(J87,1,11)),IF($G90=0,J64,WORKDAY.INTL(J64,1,11)),IF($G90=0,J66,WORKDAY.INTL(J66,1,11)),IF($G90=0,J68,WORKDAY.INTL(J68,1,11)),IF($G90=0,J70,WORKDAY.INTL(J70,1,11)),IF($G90=0,J72,WORKDAY.INTL(J72,1,11)),IF($G90=0,J74,WORKDAY.INTL(J74,1,11)))</f>
        <v>46954</v>
      </c>
      <c r="J90" s="18" t="n">
        <f aca="false">IF(G90=0,I90,WORKDAY.INTL(I90,G90-1,11))</f>
        <v>46954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 customFormat="false" ht="15" hidden="false" customHeight="false" outlineLevel="0" collapsed="false">
      <c r="A91" s="13" t="s">
        <v>349</v>
      </c>
      <c r="B91" s="13" t="s">
        <v>350</v>
      </c>
      <c r="C91" s="14" t="s">
        <v>37</v>
      </c>
      <c r="D91" s="15" t="s">
        <v>351</v>
      </c>
      <c r="E91" s="13" t="s">
        <v>45</v>
      </c>
      <c r="F91" s="13" t="s">
        <v>40</v>
      </c>
      <c r="G91" s="16" t="n">
        <v>5</v>
      </c>
      <c r="H91" s="15" t="s">
        <v>352</v>
      </c>
      <c r="I91" s="18" t="n">
        <f aca="false">MAX(IF($G91=0,J27,WORKDAY.INTL(J27,1,11)),IF($G91=0,J32,WORKDAY.INTL(J32,1,11)))</f>
        <v>46953</v>
      </c>
      <c r="J91" s="18" t="n">
        <f aca="false">IF(G91=0,I91,WORKDAY.INTL(I91,G91-1,11))</f>
        <v>46958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 customFormat="false" ht="23.85" hidden="false" customHeight="false" outlineLevel="0" collapsed="false">
      <c r="A92" s="13" t="s">
        <v>353</v>
      </c>
      <c r="B92" s="13" t="s">
        <v>354</v>
      </c>
      <c r="C92" s="14" t="s">
        <v>37</v>
      </c>
      <c r="D92" s="15" t="s">
        <v>355</v>
      </c>
      <c r="E92" s="13" t="s">
        <v>45</v>
      </c>
      <c r="F92" s="13" t="s">
        <v>356</v>
      </c>
      <c r="G92" s="16" t="n">
        <v>30</v>
      </c>
      <c r="H92" s="15" t="s">
        <v>357</v>
      </c>
      <c r="I92" s="18" t="n">
        <f aca="false">MAX(IF($G92=0,J90,WORKDAY.INTL(J90,1,11)),IF($G92=0,J91,WORKDAY.INTL(J91,1,11)),IF($G92=0,J34,WORKDAY.INTL(J34,1,11)),IF($G92=0,J38,WORKDAY.INTL(J38,1,11)))</f>
        <v>46959</v>
      </c>
      <c r="J92" s="18" t="n">
        <f aca="false">IF(G92=0,I92,WORKDAY.INTL(I92,G92-1,11))</f>
        <v>46993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 customFormat="false" ht="15" hidden="false" customHeight="false" outlineLevel="0" collapsed="false">
      <c r="A93" s="13" t="s">
        <v>358</v>
      </c>
      <c r="B93" s="13" t="s">
        <v>359</v>
      </c>
      <c r="C93" s="14" t="s">
        <v>37</v>
      </c>
      <c r="D93" s="15" t="s">
        <v>360</v>
      </c>
      <c r="E93" s="13" t="s">
        <v>45</v>
      </c>
      <c r="F93" s="13" t="s">
        <v>361</v>
      </c>
      <c r="G93" s="16" t="n">
        <v>25</v>
      </c>
      <c r="H93" s="15" t="s">
        <v>362</v>
      </c>
      <c r="I93" s="18" t="n">
        <f aca="false">WORKDAY.INTL(I92,10,11)</f>
        <v>46970</v>
      </c>
      <c r="J93" s="18" t="n">
        <f aca="false">IF(G93=0,I93,WORKDAY.INTL(I93,G93-1,11))</f>
        <v>46998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 customFormat="false" ht="23.85" hidden="false" customHeight="false" outlineLevel="0" collapsed="false">
      <c r="A94" s="13" t="s">
        <v>363</v>
      </c>
      <c r="B94" s="13" t="s">
        <v>364</v>
      </c>
      <c r="C94" s="14" t="s">
        <v>37</v>
      </c>
      <c r="D94" s="15" t="s">
        <v>365</v>
      </c>
      <c r="E94" s="13" t="s">
        <v>45</v>
      </c>
      <c r="F94" s="13" t="s">
        <v>40</v>
      </c>
      <c r="G94" s="16" t="n">
        <v>60</v>
      </c>
      <c r="H94" s="15" t="s">
        <v>366</v>
      </c>
      <c r="I94" s="18" t="n">
        <f aca="false">MAX(IF($G94=0,J92,WORKDAY.INTL(J92,1,11)),IF($G94=0,J26,WORKDAY.INTL(J26,1,11)),IF($G94=0,J36,WORKDAY.INTL(J36,1,11)),IF($G94=0,J28,WORKDAY.INTL(J28,1,11)))</f>
        <v>46994</v>
      </c>
      <c r="J94" s="18" t="n">
        <f aca="false">IF(G94=0,I94,WORKDAY.INTL(I94,G94-1,11))</f>
        <v>47063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 customFormat="false" ht="15" hidden="false" customHeight="false" outlineLevel="0" collapsed="false">
      <c r="A95" s="13" t="s">
        <v>367</v>
      </c>
      <c r="B95" s="13" t="s">
        <v>368</v>
      </c>
      <c r="C95" s="14" t="s">
        <v>37</v>
      </c>
      <c r="D95" s="15" t="s">
        <v>369</v>
      </c>
      <c r="E95" s="13" t="s">
        <v>45</v>
      </c>
      <c r="F95" s="13" t="s">
        <v>40</v>
      </c>
      <c r="G95" s="16" t="n">
        <v>40</v>
      </c>
      <c r="H95" s="15" t="s">
        <v>370</v>
      </c>
      <c r="I95" s="18" t="n">
        <f aca="false">IF($G95=0,J94,WORKDAY.INTL(J94,1,11))</f>
        <v>47064</v>
      </c>
      <c r="J95" s="18" t="n">
        <f aca="false">IF(G95=0,I95,WORKDAY.INTL(I95,G95-1,11))</f>
        <v>47109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 customFormat="false" ht="15" hidden="false" customHeight="false" outlineLevel="0" collapsed="false">
      <c r="A96" s="13" t="s">
        <v>371</v>
      </c>
      <c r="B96" s="13" t="s">
        <v>372</v>
      </c>
      <c r="C96" s="14" t="s">
        <v>37</v>
      </c>
      <c r="D96" s="15" t="s">
        <v>373</v>
      </c>
      <c r="E96" s="13" t="s">
        <v>45</v>
      </c>
      <c r="F96" s="13" t="s">
        <v>73</v>
      </c>
      <c r="G96" s="16" t="n">
        <v>50</v>
      </c>
      <c r="H96" s="15" t="s">
        <v>374</v>
      </c>
      <c r="I96" s="18" t="n">
        <f aca="false">WORKDAY.INTL(I94,10,11)</f>
        <v>47005</v>
      </c>
      <c r="J96" s="18" t="n">
        <f aca="false">IF(G96=0,I96,WORKDAY.INTL(I96,G96-1,11))</f>
        <v>47063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 customFormat="false" ht="23.85" hidden="false" customHeight="false" outlineLevel="0" collapsed="false">
      <c r="A97" s="13" t="s">
        <v>375</v>
      </c>
      <c r="B97" s="13" t="s">
        <v>376</v>
      </c>
      <c r="C97" s="14" t="s">
        <v>37</v>
      </c>
      <c r="D97" s="15" t="s">
        <v>377</v>
      </c>
      <c r="E97" s="13" t="s">
        <v>39</v>
      </c>
      <c r="F97" s="13" t="s">
        <v>40</v>
      </c>
      <c r="G97" s="16" t="n">
        <v>0</v>
      </c>
      <c r="H97" s="15" t="s">
        <v>378</v>
      </c>
      <c r="I97" s="18" t="n">
        <f aca="false">MAX(IF($G97=0,J95,WORKDAY.INTL(J95,1,11)),IF($G97=0,J96,WORKDAY.INTL(J96,1,11)),IF($G97=0,J93,WORKDAY.INTL(J93,1,11)))</f>
        <v>47109</v>
      </c>
      <c r="J97" s="18" t="n">
        <f aca="false">IF(G97=0,I97,WORKDAY.INTL(I97,G97-1,11))</f>
        <v>47109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</sheetData>
  <autoFilter ref="A5:J97"/>
  <conditionalFormatting sqref="K6:AH97">
    <cfRule type="expression" priority="2" aboveAverage="0" equalAverage="0" bottom="0" percent="0" rank="0" text="" dxfId="6">
      <formula>AND($C6="Phase",$I6&lt;=EOMONTH(K$5,0),$J6&gt;=K$5)</formula>
    </cfRule>
    <cfRule type="expression" priority="3" aboveAverage="0" equalAverage="0" bottom="0" percent="0" rank="0" text="" dxfId="7">
      <formula>AND($E6="Fixed link",$I6&lt;=EOMONTH(K$5,0),$J6&gt;=K$5)</formula>
    </cfRule>
    <cfRule type="expression" priority="4" aboveAverage="0" equalAverage="0" bottom="0" percent="0" rank="0" text="" dxfId="8">
      <formula>AND($E6="Milestone",$I6&lt;=EOMONTH(K$5,0),$J6&gt;=K$5)</formula>
    </cfRule>
    <cfRule type="expression" priority="5" aboveAverage="0" equalAverage="0" bottom="0" percent="0" rank="0" text="" dxfId="9">
      <formula>AND($C6="L3",$I6&lt;=EOMONTH(K$5,0),$J6&gt;=K$5)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3" min="2" style="1" width="16"/>
    <col collapsed="false" customWidth="true" hidden="false" outlineLevel="0" max="4" min="4" style="1" width="10"/>
  </cols>
  <sheetData>
    <row r="1" customFormat="false" ht="17.35" hidden="false" customHeight="false" outlineLevel="0" collapsed="false">
      <c r="A1" s="2" t="s">
        <v>379</v>
      </c>
    </row>
    <row r="2" customFormat="false" ht="15" hidden="false" customHeight="false" outlineLevel="0" collapsed="false">
      <c r="A2" s="5" t="s">
        <v>380</v>
      </c>
    </row>
    <row r="4" customFormat="false" ht="15" hidden="false" customHeight="false" outlineLevel="0" collapsed="false">
      <c r="A4" s="21" t="s">
        <v>39</v>
      </c>
      <c r="B4" s="21" t="s">
        <v>21</v>
      </c>
      <c r="C4" s="21" t="s">
        <v>381</v>
      </c>
      <c r="D4" s="21" t="s">
        <v>382</v>
      </c>
    </row>
    <row r="5" customFormat="false" ht="15" hidden="false" customHeight="false" outlineLevel="0" collapsed="false">
      <c r="A5" s="13" t="s">
        <v>383</v>
      </c>
      <c r="B5" s="13" t="s">
        <v>35</v>
      </c>
      <c r="C5" s="22" t="n">
        <f aca="false">INDEX('L3 Schedule'!$J$6:$J$97,MATCH(B5,'L3 Schedule'!$A$6:$A$97,0))</f>
        <v>46388</v>
      </c>
      <c r="D5" s="13" t="s">
        <v>384</v>
      </c>
    </row>
    <row r="6" customFormat="false" ht="15" hidden="false" customHeight="false" outlineLevel="0" collapsed="false">
      <c r="A6" s="13" t="s">
        <v>385</v>
      </c>
      <c r="B6" s="13" t="s">
        <v>66</v>
      </c>
      <c r="C6" s="22" t="n">
        <f aca="false">INDEX('L3 Schedule'!$J$6:$J$97,MATCH(B6,'L3 Schedule'!$A$6:$A$97,0))</f>
        <v>46482</v>
      </c>
      <c r="D6" s="13" t="s">
        <v>384</v>
      </c>
    </row>
    <row r="7" customFormat="false" ht="15" hidden="false" customHeight="false" outlineLevel="0" collapsed="false">
      <c r="A7" s="13" t="s">
        <v>386</v>
      </c>
      <c r="B7" s="13" t="s">
        <v>88</v>
      </c>
      <c r="C7" s="22" t="n">
        <f aca="false">INDEX('L3 Schedule'!$J$6:$J$97,MATCH(B7,'L3 Schedule'!$A$6:$A$97,0))</f>
        <v>46581</v>
      </c>
      <c r="D7" s="13" t="s">
        <v>384</v>
      </c>
    </row>
    <row r="8" customFormat="false" ht="15" hidden="false" customHeight="false" outlineLevel="0" collapsed="false">
      <c r="A8" s="13" t="s">
        <v>387</v>
      </c>
      <c r="B8" s="13" t="s">
        <v>215</v>
      </c>
      <c r="C8" s="22" t="n">
        <f aca="false">INDEX('L3 Schedule'!$J$6:$J$97,MATCH(B8,'L3 Schedule'!$A$6:$A$97,0))</f>
        <v>46645</v>
      </c>
      <c r="D8" s="13" t="s">
        <v>384</v>
      </c>
    </row>
    <row r="9" customFormat="false" ht="15" hidden="false" customHeight="false" outlineLevel="0" collapsed="false">
      <c r="A9" s="13" t="s">
        <v>388</v>
      </c>
      <c r="B9" s="13" t="s">
        <v>219</v>
      </c>
      <c r="C9" s="22" t="n">
        <f aca="false">INDEX('L3 Schedule'!$J$6:$J$97,MATCH(B9,'L3 Schedule'!$A$6:$A$97,0))</f>
        <v>46662</v>
      </c>
      <c r="D9" s="13" t="s">
        <v>384</v>
      </c>
    </row>
    <row r="10" customFormat="false" ht="15" hidden="false" customHeight="false" outlineLevel="0" collapsed="false">
      <c r="A10" s="13" t="s">
        <v>389</v>
      </c>
      <c r="B10" s="13" t="s">
        <v>297</v>
      </c>
      <c r="C10" s="22" t="n">
        <f aca="false">INDEX('L3 Schedule'!$I$6:$I$97,MATCH(B10,'L3 Schedule'!$A$6:$A$97,0))</f>
        <v>46664</v>
      </c>
      <c r="D10" s="13" t="s">
        <v>390</v>
      </c>
    </row>
    <row r="11" customFormat="false" ht="15" hidden="false" customHeight="false" outlineLevel="0" collapsed="false">
      <c r="A11" s="13" t="s">
        <v>391</v>
      </c>
      <c r="B11" s="13" t="s">
        <v>175</v>
      </c>
      <c r="C11" s="22" t="n">
        <f aca="false">INDEX('L3 Schedule'!$J$6:$J$97,MATCH(B11,'L3 Schedule'!$A$6:$A$97,0))</f>
        <v>46687</v>
      </c>
      <c r="D11" s="13" t="s">
        <v>384</v>
      </c>
    </row>
    <row r="12" customFormat="false" ht="15" hidden="false" customHeight="false" outlineLevel="0" collapsed="false">
      <c r="A12" s="13" t="s">
        <v>392</v>
      </c>
      <c r="B12" s="13" t="s">
        <v>251</v>
      </c>
      <c r="C12" s="22" t="n">
        <f aca="false">INDEX('L3 Schedule'!$J$6:$J$97,MATCH(B12,'L3 Schedule'!$A$6:$A$97,0))</f>
        <v>46833</v>
      </c>
      <c r="D12" s="13" t="s">
        <v>384</v>
      </c>
    </row>
    <row r="13" customFormat="false" ht="15" hidden="false" customHeight="false" outlineLevel="0" collapsed="false">
      <c r="A13" s="13" t="s">
        <v>393</v>
      </c>
      <c r="B13" s="13" t="s">
        <v>258</v>
      </c>
      <c r="C13" s="22" t="n">
        <f aca="false">INDEX('L3 Schedule'!$J$6:$J$97,MATCH(B13,'L3 Schedule'!$A$6:$A$97,0))</f>
        <v>46844</v>
      </c>
      <c r="D13" s="13" t="s">
        <v>384</v>
      </c>
    </row>
    <row r="14" customFormat="false" ht="15" hidden="false" customHeight="false" outlineLevel="0" collapsed="false">
      <c r="A14" s="13" t="s">
        <v>394</v>
      </c>
      <c r="B14" s="13" t="s">
        <v>266</v>
      </c>
      <c r="C14" s="22" t="n">
        <f aca="false">INDEX('L3 Schedule'!$J$6:$J$97,MATCH(B14,'L3 Schedule'!$A$6:$A$97,0))</f>
        <v>46839</v>
      </c>
      <c r="D14" s="13" t="s">
        <v>384</v>
      </c>
    </row>
    <row r="15" customFormat="false" ht="15" hidden="false" customHeight="false" outlineLevel="0" collapsed="false">
      <c r="A15" s="13" t="s">
        <v>395</v>
      </c>
      <c r="B15" s="13" t="s">
        <v>274</v>
      </c>
      <c r="C15" s="22" t="n">
        <f aca="false">INDEX('L3 Schedule'!$J$6:$J$97,MATCH(B15,'L3 Schedule'!$A$6:$A$97,0))</f>
        <v>46844</v>
      </c>
      <c r="D15" s="13" t="s">
        <v>384</v>
      </c>
    </row>
    <row r="16" customFormat="false" ht="15" hidden="false" customHeight="false" outlineLevel="0" collapsed="false">
      <c r="A16" s="13" t="s">
        <v>396</v>
      </c>
      <c r="B16" s="13" t="s">
        <v>282</v>
      </c>
      <c r="C16" s="22" t="n">
        <f aca="false">INDEX('L3 Schedule'!$J$6:$J$97,MATCH(B16,'L3 Schedule'!$A$6:$A$97,0))</f>
        <v>46868</v>
      </c>
      <c r="D16" s="13" t="s">
        <v>384</v>
      </c>
    </row>
    <row r="17" customFormat="false" ht="15" hidden="false" customHeight="false" outlineLevel="0" collapsed="false">
      <c r="A17" s="13" t="s">
        <v>397</v>
      </c>
      <c r="B17" s="13" t="s">
        <v>290</v>
      </c>
      <c r="C17" s="22" t="n">
        <f aca="false">INDEX('L3 Schedule'!$J$6:$J$97,MATCH(B17,'L3 Schedule'!$A$6:$A$97,0))</f>
        <v>46903</v>
      </c>
      <c r="D17" s="13" t="s">
        <v>384</v>
      </c>
    </row>
    <row r="18" customFormat="false" ht="15" hidden="false" customHeight="false" outlineLevel="0" collapsed="false">
      <c r="A18" s="13" t="s">
        <v>398</v>
      </c>
      <c r="B18" s="13" t="s">
        <v>344</v>
      </c>
      <c r="C18" s="22" t="n">
        <f aca="false">INDEX('L3 Schedule'!$J$6:$J$97,MATCH(B18,'L3 Schedule'!$A$6:$A$97,0))</f>
        <v>46954</v>
      </c>
      <c r="D18" s="13" t="s">
        <v>384</v>
      </c>
    </row>
    <row r="19" customFormat="false" ht="15" hidden="false" customHeight="false" outlineLevel="0" collapsed="false">
      <c r="A19" s="13" t="s">
        <v>399</v>
      </c>
      <c r="B19" s="13" t="s">
        <v>349</v>
      </c>
      <c r="C19" s="22" t="n">
        <f aca="false">INDEX('L3 Schedule'!$J$6:$J$97,MATCH(B19,'L3 Schedule'!$A$6:$A$97,0))</f>
        <v>46958</v>
      </c>
      <c r="D19" s="13" t="s">
        <v>384</v>
      </c>
    </row>
    <row r="20" customFormat="false" ht="15" hidden="false" customHeight="false" outlineLevel="0" collapsed="false">
      <c r="A20" s="13" t="s">
        <v>400</v>
      </c>
      <c r="B20" s="13" t="s">
        <v>112</v>
      </c>
      <c r="C20" s="22" t="n">
        <f aca="false">INDEX('L3 Schedule'!$J$6:$J$97,MATCH(B20,'L3 Schedule'!$A$6:$A$97,0))</f>
        <v>46989</v>
      </c>
      <c r="D20" s="13" t="s">
        <v>384</v>
      </c>
    </row>
    <row r="21" customFormat="false" ht="15" hidden="false" customHeight="false" outlineLevel="0" collapsed="false">
      <c r="A21" s="13" t="s">
        <v>401</v>
      </c>
      <c r="B21" s="13" t="s">
        <v>353</v>
      </c>
      <c r="C21" s="22" t="n">
        <f aca="false">INDEX('L3 Schedule'!$J$6:$J$97,MATCH(B21,'L3 Schedule'!$A$6:$A$97,0))</f>
        <v>46993</v>
      </c>
      <c r="D21" s="13" t="s">
        <v>384</v>
      </c>
    </row>
    <row r="22" customFormat="false" ht="15" hidden="false" customHeight="false" outlineLevel="0" collapsed="false">
      <c r="A22" s="13" t="s">
        <v>402</v>
      </c>
      <c r="B22" s="13" t="s">
        <v>375</v>
      </c>
      <c r="C22" s="22" t="n">
        <f aca="false">INDEX('L3 Schedule'!$J$6:$J$97,MATCH(B22,'L3 Schedule'!$A$6:$A$97,0))</f>
        <v>47109</v>
      </c>
      <c r="D22" s="13" t="s">
        <v>384</v>
      </c>
    </row>
    <row r="24" customFormat="false" ht="15" hidden="false" customHeight="false" outlineLevel="0" collapsed="false">
      <c r="A24" s="23" t="s">
        <v>403</v>
      </c>
    </row>
    <row r="25" customFormat="false" ht="15" hidden="false" customHeight="false" outlineLevel="0" collapsed="false">
      <c r="A25" s="24" t="s">
        <v>404</v>
      </c>
      <c r="C25" s="25" t="n">
        <v>46664</v>
      </c>
    </row>
    <row r="26" customFormat="false" ht="15" hidden="false" customHeight="false" outlineLevel="0" collapsed="false">
      <c r="A26" s="24" t="s">
        <v>405</v>
      </c>
      <c r="C26" s="26" t="n">
        <f aca="false">C10</f>
        <v>46664</v>
      </c>
    </row>
    <row r="27" customFormat="false" ht="15" hidden="false" customHeight="false" outlineLevel="0" collapsed="false">
      <c r="A27" s="24" t="s">
        <v>406</v>
      </c>
      <c r="C27" s="24" t="str">
        <f aca="false">IF(C26&lt;=C25,"OK - handover is on or before required date","LATE - contractor schedule cannot start")</f>
        <v>OK - handover is on or before required date</v>
      </c>
    </row>
    <row r="28" customFormat="false" ht="15" hidden="false" customHeight="false" outlineLevel="0" collapsed="false">
      <c r="A28" s="24" t="s">
        <v>407</v>
      </c>
      <c r="C28" s="24" t="n">
        <f aca="false">ROUND((C22-C5)/30.4375,1)</f>
        <v>23.7</v>
      </c>
    </row>
    <row r="29" customFormat="false" ht="15" hidden="false" customHeight="false" outlineLevel="0" collapsed="false">
      <c r="A29" s="24" t="s">
        <v>408</v>
      </c>
      <c r="C29" s="24" t="n">
        <f aca="false">NETWORKDAYS.INTL(C22,DATE(2028,12,31),11)-1</f>
        <v>7</v>
      </c>
    </row>
    <row r="31" customFormat="false" ht="15" hidden="false" customHeight="false" outlineLevel="0" collapsed="false">
      <c r="A31" s="5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2026-09-20T16:26:50Z</dcterms:created>
  <dc:creator>openpyxl</dc:creator>
  <dc:description/>
  <dc:language>en-US</dc:language>
  <cp:lastModifiedBy/>
  <dcterms:modified xsi:type="dcterms:W3CDTF">2026-09-20T16:26:50Z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